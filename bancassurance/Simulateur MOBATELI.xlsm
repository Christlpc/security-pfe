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udes.mankedi\Desktop\FORMATION\"/>
    </mc:Choice>
  </mc:AlternateContent>
  <bookViews>
    <workbookView xWindow="0" yWindow="0" windowWidth="19200" windowHeight="8256" tabRatio="838"/>
  </bookViews>
  <sheets>
    <sheet name="DTC" sheetId="15" r:id="rId1"/>
    <sheet name="&lt;----------&gt;" sheetId="18" r:id="rId2"/>
    <sheet name="DTC + FF" sheetId="16" r:id="rId3"/>
    <sheet name="PU" sheetId="11" state="hidden" r:id="rId4"/>
    <sheet name="PA" sheetId="6" state="hidden" r:id="rId5"/>
    <sheet name="CIMA_H" sheetId="2" state="hidden" r:id="rId6"/>
    <sheet name="Param" sheetId="3" state="hidden" r:id="rId7"/>
  </sheets>
  <externalReferences>
    <externalReference r:id="rId8"/>
  </externalReferences>
  <definedNames>
    <definedName name="a">'[1]Données Techniques'!$B$24</definedName>
    <definedName name="AgeMoyEnf">'[1]Données Techniques'!$B$39</definedName>
    <definedName name="Durée">#REF!</definedName>
    <definedName name="e">'[1]Données Techniques'!$B$16</definedName>
    <definedName name="f.12">Param!$D$21</definedName>
    <definedName name="f.2">Param!$D$19</definedName>
    <definedName name="f.4">Param!$D$20</definedName>
    <definedName name="Gp">'[1]Données Techniques'!$B$15</definedName>
    <definedName name="i">'[1]Données Techniques'!$B$9</definedName>
    <definedName name="taDA">Param!$D$14</definedName>
    <definedName name="taIPP">Param!$D$17</definedName>
    <definedName name="taIPT">Param!$D$13</definedName>
    <definedName name="TDmaj">'[1]TABLE DE MORATALITE'!$E$4:$G$110</definedName>
    <definedName name="vt">'[1]Données Techniques'!$B$8</definedName>
    <definedName name="vx">Param!$E$7</definedName>
  </definedNames>
  <calcPr calcId="162913"/>
  <extLst>
    <ext uri="GoogleSheetsCustomDataVersion2">
      <go:sheetsCustomData xmlns:go="http://customooxmlschemas.google.com/" r:id="rId13" roundtripDataChecksum="0CsR4LKYzenptrHdxQj2XKGhh4tGZQQ2HBTpzMqQVwI="/>
    </ext>
  </extLst>
</workbook>
</file>

<file path=xl/calcChain.xml><?xml version="1.0" encoding="utf-8"?>
<calcChain xmlns="http://schemas.openxmlformats.org/spreadsheetml/2006/main">
  <c r="G2" i="6" l="1"/>
  <c r="H7" i="16" l="1"/>
  <c r="G2" i="11" l="1"/>
  <c r="D8" i="11" l="1"/>
  <c r="G51" i="11"/>
  <c r="F53" i="11"/>
  <c r="E55" i="11"/>
  <c r="C51" i="11"/>
  <c r="E52" i="11"/>
  <c r="C56" i="11"/>
  <c r="G52" i="11"/>
  <c r="F54" i="11"/>
  <c r="E56" i="11"/>
  <c r="C52" i="11"/>
  <c r="D53" i="11"/>
  <c r="D54" i="11"/>
  <c r="F51" i="11"/>
  <c r="F52" i="11"/>
  <c r="G53" i="11"/>
  <c r="F55" i="11"/>
  <c r="D51" i="11"/>
  <c r="C53" i="11"/>
  <c r="E51" i="11"/>
  <c r="G56" i="11"/>
  <c r="D55" i="11"/>
  <c r="D56" i="11"/>
  <c r="G54" i="11"/>
  <c r="F56" i="11"/>
  <c r="D52" i="11"/>
  <c r="C54" i="11"/>
  <c r="G55" i="11"/>
  <c r="C55" i="11"/>
  <c r="E53" i="11"/>
  <c r="E54" i="11"/>
  <c r="E24" i="11"/>
  <c r="C22" i="11"/>
  <c r="F50" i="11"/>
  <c r="G37" i="11"/>
  <c r="D19" i="11"/>
  <c r="C50" i="11"/>
  <c r="E35" i="11"/>
  <c r="C17" i="11"/>
  <c r="D48" i="11"/>
  <c r="E33" i="11"/>
  <c r="D14" i="11"/>
  <c r="G41" i="11"/>
  <c r="D9" i="11"/>
  <c r="G39" i="11"/>
  <c r="C48" i="11"/>
  <c r="E31" i="11"/>
  <c r="F11" i="11"/>
  <c r="D46" i="11"/>
  <c r="C29" i="11"/>
  <c r="D44" i="11"/>
  <c r="C27" i="11"/>
  <c r="C46" i="11"/>
  <c r="F41" i="11"/>
  <c r="D37" i="11"/>
  <c r="G30" i="11"/>
  <c r="G26" i="11"/>
  <c r="G21" i="11"/>
  <c r="C19" i="11"/>
  <c r="C14" i="11"/>
  <c r="C9" i="11"/>
  <c r="G45" i="11"/>
  <c r="C37" i="11"/>
  <c r="F30" i="11"/>
  <c r="G23" i="11"/>
  <c r="G18" i="11"/>
  <c r="G13" i="11"/>
  <c r="E8" i="11"/>
  <c r="F49" i="11"/>
  <c r="D41" i="11"/>
  <c r="E32" i="11"/>
  <c r="F23" i="11"/>
  <c r="G15" i="11"/>
  <c r="G10" i="11"/>
  <c r="E49" i="11"/>
  <c r="C41" i="11"/>
  <c r="D32" i="11"/>
  <c r="F25" i="11"/>
  <c r="E23" i="11"/>
  <c r="F15" i="11"/>
  <c r="G12" i="11"/>
  <c r="F10" i="11"/>
  <c r="G7" i="11"/>
  <c r="F43" i="11"/>
  <c r="F39" i="11"/>
  <c r="D35" i="11"/>
  <c r="D33" i="11"/>
  <c r="G28" i="11"/>
  <c r="C24" i="11"/>
  <c r="E16" i="11"/>
  <c r="D11" i="11"/>
  <c r="G49" i="11"/>
  <c r="E43" i="11"/>
  <c r="E39" i="11"/>
  <c r="C33" i="11"/>
  <c r="F26" i="11"/>
  <c r="C16" i="11"/>
  <c r="D6" i="11"/>
  <c r="F47" i="11"/>
  <c r="D45" i="11"/>
  <c r="G38" i="11"/>
  <c r="G34" i="11"/>
  <c r="E30" i="11"/>
  <c r="C26" i="11"/>
  <c r="G20" i="11"/>
  <c r="D13" i="11"/>
  <c r="E6" i="11"/>
  <c r="C45" i="11"/>
  <c r="C43" i="11"/>
  <c r="F36" i="11"/>
  <c r="D28" i="11"/>
  <c r="F20" i="11"/>
  <c r="F6" i="11"/>
  <c r="G46" i="11"/>
  <c r="G42" i="11"/>
  <c r="E40" i="11"/>
  <c r="E36" i="11"/>
  <c r="C32" i="11"/>
  <c r="F27" i="11"/>
  <c r="G22" i="11"/>
  <c r="E20" i="11"/>
  <c r="E15" i="11"/>
  <c r="F12" i="11"/>
  <c r="F7" i="11"/>
  <c r="G6" i="11"/>
  <c r="C49" i="11"/>
  <c r="F46" i="11"/>
  <c r="F44" i="11"/>
  <c r="F42" i="11"/>
  <c r="D40" i="11"/>
  <c r="D38" i="11"/>
  <c r="D36" i="11"/>
  <c r="G33" i="11"/>
  <c r="G31" i="11"/>
  <c r="G29" i="11"/>
  <c r="E27" i="11"/>
  <c r="D25" i="11"/>
  <c r="E22" i="11"/>
  <c r="D20" i="11"/>
  <c r="E17" i="11"/>
  <c r="G14" i="11"/>
  <c r="E12" i="11"/>
  <c r="F9" i="11"/>
  <c r="E7" i="11"/>
  <c r="G47" i="11"/>
  <c r="E41" i="11"/>
  <c r="C35" i="11"/>
  <c r="F28" i="11"/>
  <c r="D21" i="11"/>
  <c r="C11" i="11"/>
  <c r="D43" i="11"/>
  <c r="G36" i="11"/>
  <c r="E28" i="11"/>
  <c r="F18" i="11"/>
  <c r="C8" i="11"/>
  <c r="E47" i="11"/>
  <c r="F38" i="11"/>
  <c r="F34" i="11"/>
  <c r="D30" i="11"/>
  <c r="C18" i="11"/>
  <c r="D49" i="11"/>
  <c r="G44" i="11"/>
  <c r="E38" i="11"/>
  <c r="C34" i="11"/>
  <c r="C30" i="11"/>
  <c r="E25" i="11"/>
  <c r="F17" i="11"/>
  <c r="C10" i="11"/>
  <c r="G50" i="11"/>
  <c r="E48" i="11"/>
  <c r="E46" i="11"/>
  <c r="E44" i="11"/>
  <c r="C42" i="11"/>
  <c r="C40" i="11"/>
  <c r="C38" i="11"/>
  <c r="F35" i="11"/>
  <c r="F33" i="11"/>
  <c r="F31" i="11"/>
  <c r="D29" i="11"/>
  <c r="D27" i="11"/>
  <c r="C25" i="11"/>
  <c r="D22" i="11"/>
  <c r="F19" i="11"/>
  <c r="D17" i="11"/>
  <c r="E14" i="11"/>
  <c r="D12" i="11"/>
  <c r="E9" i="11"/>
  <c r="E50" i="11"/>
  <c r="G48" i="11"/>
  <c r="D47" i="11"/>
  <c r="F45" i="11"/>
  <c r="C44" i="11"/>
  <c r="E42" i="11"/>
  <c r="G40" i="11"/>
  <c r="D39" i="11"/>
  <c r="F37" i="11"/>
  <c r="C36" i="11"/>
  <c r="E34" i="11"/>
  <c r="G32" i="11"/>
  <c r="D31" i="11"/>
  <c r="F29" i="11"/>
  <c r="C28" i="11"/>
  <c r="E26" i="11"/>
  <c r="G24" i="11"/>
  <c r="D23" i="11"/>
  <c r="F21" i="11"/>
  <c r="C20" i="11"/>
  <c r="E18" i="11"/>
  <c r="G16" i="11"/>
  <c r="D15" i="11"/>
  <c r="F13" i="11"/>
  <c r="C12" i="11"/>
  <c r="E10" i="11"/>
  <c r="G8" i="11"/>
  <c r="D7" i="11"/>
  <c r="C6" i="11"/>
  <c r="D50" i="11"/>
  <c r="F48" i="11"/>
  <c r="C47" i="11"/>
  <c r="E45" i="11"/>
  <c r="G43" i="11"/>
  <c r="D42" i="11"/>
  <c r="F40" i="11"/>
  <c r="C39" i="11"/>
  <c r="E37" i="11"/>
  <c r="G35" i="11"/>
  <c r="D34" i="11"/>
  <c r="F32" i="11"/>
  <c r="C31" i="11"/>
  <c r="E29" i="11"/>
  <c r="G27" i="11"/>
  <c r="D26" i="11"/>
  <c r="F24" i="11"/>
  <c r="C23" i="11"/>
  <c r="E21" i="11"/>
  <c r="G19" i="11"/>
  <c r="D18" i="11"/>
  <c r="F16" i="11"/>
  <c r="C15" i="11"/>
  <c r="E13" i="11"/>
  <c r="G11" i="11"/>
  <c r="D10" i="11"/>
  <c r="F8" i="11"/>
  <c r="C7" i="11"/>
  <c r="G25" i="11"/>
  <c r="D24" i="11"/>
  <c r="F22" i="11"/>
  <c r="C21" i="11"/>
  <c r="E19" i="11"/>
  <c r="G17" i="11"/>
  <c r="D16" i="11"/>
  <c r="F14" i="11"/>
  <c r="C13" i="11"/>
  <c r="E11" i="11"/>
  <c r="G9" i="11"/>
  <c r="C51" i="6" l="1"/>
  <c r="D52" i="6"/>
  <c r="E52" i="6"/>
  <c r="F51" i="6"/>
  <c r="G49" i="6"/>
  <c r="C55" i="6"/>
  <c r="G53" i="6"/>
  <c r="E49" i="6"/>
  <c r="D50" i="6"/>
  <c r="G55" i="6"/>
  <c r="D51" i="6"/>
  <c r="C52" i="6"/>
  <c r="D53" i="6"/>
  <c r="E53" i="6"/>
  <c r="F52" i="6"/>
  <c r="G50" i="6"/>
  <c r="F55" i="6"/>
  <c r="F48" i="6"/>
  <c r="E50" i="6"/>
  <c r="E51" i="6"/>
  <c r="C53" i="6"/>
  <c r="D54" i="6"/>
  <c r="E54" i="6"/>
  <c r="F53" i="6"/>
  <c r="G51" i="6"/>
  <c r="E56" i="6"/>
  <c r="F56" i="6"/>
  <c r="G47" i="6"/>
  <c r="G56" i="6"/>
  <c r="C54" i="6"/>
  <c r="D55" i="6"/>
  <c r="E55" i="6"/>
  <c r="F54" i="6"/>
  <c r="G52" i="6"/>
  <c r="D56" i="6"/>
  <c r="C56" i="6"/>
  <c r="G54" i="6"/>
  <c r="F49" i="6"/>
  <c r="G48" i="6"/>
  <c r="F50" i="6"/>
  <c r="G6" i="6"/>
  <c r="C42" i="6"/>
  <c r="D42" i="6"/>
  <c r="E42" i="6"/>
  <c r="F42" i="6"/>
  <c r="G42" i="6"/>
  <c r="C43" i="6"/>
  <c r="D43" i="6"/>
  <c r="E43" i="6"/>
  <c r="F43" i="6"/>
  <c r="G43" i="6"/>
  <c r="C44" i="6"/>
  <c r="D44" i="6"/>
  <c r="E44" i="6"/>
  <c r="F44" i="6"/>
  <c r="G44" i="6"/>
  <c r="C45" i="6"/>
  <c r="D45" i="6"/>
  <c r="E45" i="6"/>
  <c r="F45" i="6"/>
  <c r="G45" i="6"/>
  <c r="C46" i="6"/>
  <c r="D46" i="6"/>
  <c r="E46" i="6"/>
  <c r="F46" i="6"/>
  <c r="G46" i="6"/>
  <c r="C47" i="6"/>
  <c r="D47" i="6"/>
  <c r="E47" i="6"/>
  <c r="F47" i="6"/>
  <c r="C48" i="6"/>
  <c r="D48" i="6"/>
  <c r="E48" i="6"/>
  <c r="C49" i="6"/>
  <c r="D49" i="6"/>
  <c r="C50" i="6"/>
  <c r="D6" i="6"/>
  <c r="E6" i="6"/>
  <c r="F6" i="6"/>
  <c r="D7" i="6"/>
  <c r="E7" i="6"/>
  <c r="F7" i="6"/>
  <c r="G7" i="6"/>
  <c r="D8" i="6"/>
  <c r="E8" i="6"/>
  <c r="F8" i="6"/>
  <c r="G8" i="6"/>
  <c r="D9" i="6"/>
  <c r="E9" i="6"/>
  <c r="F9" i="6"/>
  <c r="G9" i="6"/>
  <c r="D10" i="6"/>
  <c r="E10" i="6"/>
  <c r="F10" i="6"/>
  <c r="G10" i="6"/>
  <c r="D11" i="6"/>
  <c r="E11" i="6"/>
  <c r="F11" i="6"/>
  <c r="G11" i="6"/>
  <c r="D12" i="6"/>
  <c r="E12" i="6"/>
  <c r="F12" i="6"/>
  <c r="G12" i="6"/>
  <c r="D13" i="6"/>
  <c r="E13" i="6"/>
  <c r="F13" i="6"/>
  <c r="G13" i="6"/>
  <c r="D14" i="6"/>
  <c r="E14" i="6"/>
  <c r="F14" i="6"/>
  <c r="G14" i="6"/>
  <c r="D15" i="6"/>
  <c r="E15" i="6"/>
  <c r="F15" i="6"/>
  <c r="G15" i="6"/>
  <c r="C6" i="6"/>
  <c r="C7" i="6"/>
  <c r="C8" i="6"/>
  <c r="C9" i="6"/>
  <c r="C10" i="6"/>
  <c r="C11" i="6"/>
  <c r="C12" i="6"/>
  <c r="C13" i="6"/>
  <c r="C14" i="6"/>
  <c r="C15" i="6"/>
  <c r="D17" i="6" l="1"/>
  <c r="E17" i="6"/>
  <c r="F17" i="6"/>
  <c r="G17" i="6"/>
  <c r="D18" i="6"/>
  <c r="E18" i="6"/>
  <c r="F18" i="6"/>
  <c r="G18" i="6"/>
  <c r="D19" i="6"/>
  <c r="E19" i="6"/>
  <c r="F19" i="6"/>
  <c r="G19" i="6"/>
  <c r="D20" i="6"/>
  <c r="E20" i="6"/>
  <c r="F20" i="6"/>
  <c r="G20" i="6"/>
  <c r="D21" i="6"/>
  <c r="E21" i="6"/>
  <c r="F21" i="6"/>
  <c r="G21" i="6"/>
  <c r="D22" i="6"/>
  <c r="E22" i="6"/>
  <c r="F22" i="6"/>
  <c r="G22" i="6"/>
  <c r="D23" i="6"/>
  <c r="E23" i="6"/>
  <c r="F23" i="6"/>
  <c r="G23" i="6"/>
  <c r="D24" i="6"/>
  <c r="E24" i="6"/>
  <c r="F24" i="6"/>
  <c r="G24" i="6"/>
  <c r="D25" i="6"/>
  <c r="E25" i="6"/>
  <c r="F25" i="6"/>
  <c r="G25" i="6"/>
  <c r="D26" i="6"/>
  <c r="E26" i="6"/>
  <c r="F26" i="6"/>
  <c r="G26" i="6"/>
  <c r="D27" i="6"/>
  <c r="E27" i="6"/>
  <c r="F27" i="6"/>
  <c r="G27" i="6"/>
  <c r="D28" i="6"/>
  <c r="E28" i="6"/>
  <c r="F28" i="6"/>
  <c r="G28" i="6"/>
  <c r="D29" i="6"/>
  <c r="E29" i="6"/>
  <c r="F29" i="6"/>
  <c r="G29" i="6"/>
  <c r="D30" i="6"/>
  <c r="E30" i="6"/>
  <c r="F30" i="6"/>
  <c r="G30" i="6"/>
  <c r="D31" i="6"/>
  <c r="E31" i="6"/>
  <c r="F31" i="6"/>
  <c r="G31" i="6"/>
  <c r="D32" i="6"/>
  <c r="E32" i="6"/>
  <c r="F32" i="6"/>
  <c r="G32" i="6"/>
  <c r="D33" i="6"/>
  <c r="E33" i="6"/>
  <c r="F33" i="6"/>
  <c r="G33" i="6"/>
  <c r="D34" i="6"/>
  <c r="E34" i="6"/>
  <c r="F34" i="6"/>
  <c r="G34" i="6"/>
  <c r="D35" i="6"/>
  <c r="E35" i="6"/>
  <c r="F35" i="6"/>
  <c r="G35" i="6"/>
  <c r="D36" i="6"/>
  <c r="E36" i="6"/>
  <c r="F36" i="6"/>
  <c r="G36" i="6"/>
  <c r="D37" i="6"/>
  <c r="E37" i="6"/>
  <c r="F37" i="6"/>
  <c r="G37" i="6"/>
  <c r="D38" i="6"/>
  <c r="E38" i="6"/>
  <c r="F38" i="6"/>
  <c r="G38" i="6"/>
  <c r="D39" i="6"/>
  <c r="E39" i="6"/>
  <c r="F39" i="6"/>
  <c r="G39" i="6"/>
  <c r="D40" i="6"/>
  <c r="E40" i="6"/>
  <c r="F40" i="6"/>
  <c r="G40" i="6"/>
  <c r="D41" i="6"/>
  <c r="E41" i="6"/>
  <c r="F41" i="6"/>
  <c r="G41" i="6"/>
  <c r="C41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17" i="6"/>
  <c r="C18" i="6"/>
  <c r="C19" i="6"/>
  <c r="C20" i="6"/>
  <c r="C21" i="6"/>
  <c r="C22" i="6"/>
  <c r="C23" i="6"/>
  <c r="C16" i="6"/>
  <c r="D16" i="6"/>
  <c r="E16" i="6"/>
  <c r="F16" i="6"/>
  <c r="G16" i="6"/>
  <c r="D12" i="15" l="1"/>
  <c r="E7" i="3"/>
  <c r="E6" i="3"/>
</calcChain>
</file>

<file path=xl/sharedStrings.xml><?xml version="1.0" encoding="utf-8"?>
<sst xmlns="http://schemas.openxmlformats.org/spreadsheetml/2006/main" count="84" uniqueCount="65">
  <si>
    <t>x</t>
  </si>
  <si>
    <t>lx</t>
  </si>
  <si>
    <t>dx</t>
  </si>
  <si>
    <t>qx</t>
  </si>
  <si>
    <t>Dx</t>
  </si>
  <si>
    <t>Nx</t>
  </si>
  <si>
    <t>Cx</t>
  </si>
  <si>
    <t>Mx</t>
  </si>
  <si>
    <t>PAC dec</t>
  </si>
  <si>
    <t>Age</t>
  </si>
  <si>
    <t>a</t>
  </si>
  <si>
    <t>gp</t>
  </si>
  <si>
    <t>e</t>
  </si>
  <si>
    <t>tada</t>
  </si>
  <si>
    <t>taIPT</t>
  </si>
  <si>
    <t>taIPP</t>
  </si>
  <si>
    <t>Tffa</t>
  </si>
  <si>
    <t>Tffe</t>
  </si>
  <si>
    <t>Nbre de vivants  à l'année x</t>
  </si>
  <si>
    <t>Nbre de décè à l'anné x</t>
  </si>
  <si>
    <t>i</t>
  </si>
  <si>
    <t>ip</t>
  </si>
  <si>
    <t>v(x)</t>
  </si>
  <si>
    <t>Frais d'encaissement</t>
  </si>
  <si>
    <t>Frais de gestion sur prime</t>
  </si>
  <si>
    <t>Taux d'intérêt annuel</t>
  </si>
  <si>
    <t>Frais d'acquisition</t>
  </si>
  <si>
    <t>Taux mensuel</t>
  </si>
  <si>
    <t>Frais accessoires</t>
  </si>
  <si>
    <t>1 000 Fr</t>
  </si>
  <si>
    <t>Age à la souscription</t>
  </si>
  <si>
    <t>Durée contrat</t>
  </si>
  <si>
    <t>gr</t>
  </si>
  <si>
    <t>Prime Annuelle pour un capital Décès Toutes Causes de :</t>
  </si>
  <si>
    <t>f2</t>
  </si>
  <si>
    <t>f4</t>
  </si>
  <si>
    <t>f12</t>
  </si>
  <si>
    <t>Prime Unique pour un capital Décès Toutes Causes de :</t>
  </si>
  <si>
    <t>Age de l'assuré :</t>
  </si>
  <si>
    <t>Frais de gestion sur rente</t>
  </si>
  <si>
    <t>*</t>
  </si>
  <si>
    <t>PLAGE A RENSEIGNER</t>
  </si>
  <si>
    <t>Garanties et capitaux assurés</t>
  </si>
  <si>
    <t>Date de naissance :</t>
  </si>
  <si>
    <t>Décès toutes causes :</t>
  </si>
  <si>
    <t>DTC</t>
  </si>
  <si>
    <t>Prime :</t>
  </si>
  <si>
    <t>Invalidité Absolue et Définitive :</t>
  </si>
  <si>
    <t>IAD</t>
  </si>
  <si>
    <t>Date de souscription :</t>
  </si>
  <si>
    <t>Tarification Mobateli</t>
  </si>
  <si>
    <t>Accessoires :</t>
  </si>
  <si>
    <t>Prime totale :</t>
  </si>
  <si>
    <t>Capital DTC / IAD :</t>
  </si>
  <si>
    <t>SIMULATEUR MOBATELI (Décès toutes causes)</t>
  </si>
  <si>
    <t>SIMULATEUR MOBATELI (DTC + Frais Funéraires)</t>
  </si>
  <si>
    <t>Frais Funéraires</t>
  </si>
  <si>
    <t>Capital :</t>
  </si>
  <si>
    <t>1 000 000 FCFA pour l'adhérent</t>
  </si>
  <si>
    <t>1 000 000 FCFA pour le/la conjoint(e) déclaré(e) au BIA</t>
  </si>
  <si>
    <t>500 000 FCFA par enfant de moins de 25 ans limité à 4 enfants</t>
  </si>
  <si>
    <t>Couverture en année :</t>
  </si>
  <si>
    <t>Capital DTC &amp; FF :</t>
  </si>
  <si>
    <t>Obligatoire (à renseigner) :</t>
  </si>
  <si>
    <t>Paramètres masqués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</si>
</sst>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-* #,##0.00_-;\-* #,##0.00_-;_-* &quot;-&quot;??_-;_-@_-"/>
    <numFmt numFmtId="165" formatCode="0.000%"/>
    <numFmt numFmtId="166" formatCode="0.000"/>
    <numFmt numFmtId="167" formatCode="_-* #,##0_-;\-* #,##0_-;_-* &quot;-&quot;??_-;_-@_-"/>
  </numFmts>
  <fonts count="2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0"/>
      <color rgb="FF00008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i/>
      <sz val="10"/>
      <color rgb="FF000080"/>
      <name val="Arial"/>
      <family val="2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10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FCC"/>
        <bgColor rgb="FFFFFFCC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</borders>
  <cellStyleXfs count="5">
    <xf numFmtId="0" fontId="0" fillId="0" borderId="0"/>
    <xf numFmtId="9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</cellStyleXfs>
  <cellXfs count="104">
    <xf numFmtId="0" fontId="0" fillId="0" borderId="0" xfId="0" applyFont="1" applyAlignment="1"/>
    <xf numFmtId="9" fontId="0" fillId="0" borderId="1" xfId="0" applyNumberFormat="1" applyFont="1" applyBorder="1" applyAlignment="1"/>
    <xf numFmtId="10" fontId="0" fillId="0" borderId="1" xfId="0" applyNumberFormat="1" applyFont="1" applyBorder="1" applyAlignment="1"/>
    <xf numFmtId="0" fontId="11" fillId="0" borderId="1" xfId="0" applyFont="1" applyFill="1" applyBorder="1" applyAlignment="1">
      <alignment horizontal="right" vertical="center"/>
    </xf>
    <xf numFmtId="2" fontId="9" fillId="0" borderId="1" xfId="0" applyNumberFormat="1" applyFont="1" applyBorder="1"/>
    <xf numFmtId="166" fontId="9" fillId="0" borderId="1" xfId="0" applyNumberFormat="1" applyFont="1" applyBorder="1"/>
    <xf numFmtId="1" fontId="9" fillId="0" borderId="1" xfId="0" applyNumberFormat="1" applyFont="1" applyBorder="1"/>
    <xf numFmtId="165" fontId="9" fillId="0" borderId="1" xfId="0" applyNumberFormat="1" applyFont="1" applyBorder="1"/>
    <xf numFmtId="1" fontId="9" fillId="2" borderId="1" xfId="0" applyNumberFormat="1" applyFont="1" applyFill="1" applyBorder="1"/>
    <xf numFmtId="4" fontId="9" fillId="2" borderId="1" xfId="0" applyNumberFormat="1" applyFont="1" applyFill="1" applyBorder="1"/>
    <xf numFmtId="1" fontId="9" fillId="3" borderId="1" xfId="0" applyNumberFormat="1" applyFont="1" applyFill="1" applyBorder="1"/>
    <xf numFmtId="2" fontId="9" fillId="3" borderId="1" xfId="0" applyNumberFormat="1" applyFont="1" applyFill="1" applyBorder="1"/>
    <xf numFmtId="166" fontId="9" fillId="3" borderId="1" xfId="0" applyNumberFormat="1" applyFont="1" applyFill="1" applyBorder="1"/>
    <xf numFmtId="0" fontId="5" fillId="5" borderId="1" xfId="0" applyFont="1" applyFill="1" applyBorder="1" applyAlignment="1">
      <alignment horizontal="center" vertical="center" wrapText="1"/>
    </xf>
    <xf numFmtId="0" fontId="0" fillId="5" borderId="1" xfId="0" applyFont="1" applyFill="1" applyBorder="1" applyAlignment="1">
      <alignment horizontal="center" vertical="center" wrapText="1"/>
    </xf>
    <xf numFmtId="1" fontId="9" fillId="5" borderId="1" xfId="0" applyNumberFormat="1" applyFont="1" applyFill="1" applyBorder="1" applyAlignment="1">
      <alignment horizontal="center" vertical="center" wrapText="1"/>
    </xf>
    <xf numFmtId="2" fontId="9" fillId="5" borderId="1" xfId="0" applyNumberFormat="1" applyFont="1" applyFill="1" applyBorder="1" applyAlignment="1">
      <alignment horizontal="center" vertical="center" wrapText="1"/>
    </xf>
    <xf numFmtId="166" fontId="9" fillId="5" borderId="1" xfId="0" applyNumberFormat="1" applyFont="1" applyFill="1" applyBorder="1" applyAlignment="1">
      <alignment horizontal="center" vertical="center" wrapText="1"/>
    </xf>
    <xf numFmtId="0" fontId="11" fillId="7" borderId="1" xfId="0" applyFont="1" applyFill="1" applyBorder="1" applyAlignment="1">
      <alignment horizontal="right" vertical="center"/>
    </xf>
    <xf numFmtId="0" fontId="0" fillId="0" borderId="0" xfId="0" applyFont="1" applyAlignment="1">
      <alignment horizontal="right"/>
    </xf>
    <xf numFmtId="0" fontId="0" fillId="0" borderId="1" xfId="0" applyFont="1" applyBorder="1" applyAlignment="1"/>
    <xf numFmtId="167" fontId="0" fillId="0" borderId="0" xfId="2" applyNumberFormat="1" applyFont="1" applyBorder="1" applyAlignment="1"/>
    <xf numFmtId="0" fontId="4" fillId="0" borderId="0" xfId="0" applyFont="1" applyAlignment="1"/>
    <xf numFmtId="0" fontId="4" fillId="0" borderId="1" xfId="0" applyFont="1" applyBorder="1" applyAlignment="1"/>
    <xf numFmtId="0" fontId="0" fillId="0" borderId="6" xfId="0" applyFont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0" fontId="4" fillId="10" borderId="7" xfId="0" applyFont="1" applyFill="1" applyBorder="1" applyAlignment="1">
      <alignment horizontal="center"/>
    </xf>
    <xf numFmtId="167" fontId="0" fillId="0" borderId="1" xfId="2" applyNumberFormat="1" applyFont="1" applyBorder="1" applyAlignment="1"/>
    <xf numFmtId="167" fontId="0" fillId="0" borderId="7" xfId="2" applyNumberFormat="1" applyFont="1" applyBorder="1" applyAlignment="1"/>
    <xf numFmtId="167" fontId="0" fillId="0" borderId="0" xfId="0" applyNumberFormat="1" applyFont="1" applyAlignment="1"/>
    <xf numFmtId="10" fontId="4" fillId="0" borderId="1" xfId="0" applyNumberFormat="1" applyFont="1" applyBorder="1" applyAlignment="1"/>
    <xf numFmtId="0" fontId="11" fillId="7" borderId="8" xfId="0" applyFont="1" applyFill="1" applyBorder="1" applyAlignment="1">
      <alignment horizontal="right" vertical="center"/>
    </xf>
    <xf numFmtId="167" fontId="16" fillId="0" borderId="0" xfId="2" applyNumberFormat="1" applyFont="1" applyAlignment="1"/>
    <xf numFmtId="0" fontId="16" fillId="0" borderId="0" xfId="0" applyFont="1" applyAlignment="1">
      <alignment horizontal="right"/>
    </xf>
    <xf numFmtId="0" fontId="0" fillId="0" borderId="0" xfId="0" applyFont="1" applyFill="1" applyAlignment="1"/>
    <xf numFmtId="10" fontId="0" fillId="0" borderId="0" xfId="1" applyNumberFormat="1" applyFont="1" applyAlignment="1"/>
    <xf numFmtId="0" fontId="6" fillId="0" borderId="1" xfId="0" applyFont="1" applyFill="1" applyBorder="1" applyAlignment="1">
      <alignment horizontal="right" vertical="center"/>
    </xf>
    <xf numFmtId="0" fontId="8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3" fillId="0" borderId="0" xfId="0" applyFont="1" applyFill="1" applyAlignment="1"/>
    <xf numFmtId="9" fontId="0" fillId="0" borderId="0" xfId="0" applyNumberFormat="1" applyFont="1" applyBorder="1" applyAlignment="1"/>
    <xf numFmtId="9" fontId="0" fillId="0" borderId="1" xfId="0" applyNumberFormat="1" applyFont="1" applyFill="1" applyBorder="1" applyAlignment="1"/>
    <xf numFmtId="0" fontId="0" fillId="0" borderId="1" xfId="0" applyFont="1" applyFill="1" applyBorder="1" applyAlignment="1">
      <alignment horizontal="right"/>
    </xf>
    <xf numFmtId="167" fontId="0" fillId="0" borderId="0" xfId="2" applyNumberFormat="1" applyFont="1" applyAlignment="1"/>
    <xf numFmtId="0" fontId="0" fillId="7" borderId="1" xfId="0" applyFont="1" applyFill="1" applyBorder="1" applyAlignment="1">
      <alignment horizontal="center"/>
    </xf>
    <xf numFmtId="167" fontId="0" fillId="7" borderId="0" xfId="2" applyNumberFormat="1" applyFont="1" applyFill="1" applyBorder="1" applyAlignment="1"/>
    <xf numFmtId="0" fontId="0" fillId="7" borderId="0" xfId="0" applyFont="1" applyFill="1" applyAlignment="1"/>
    <xf numFmtId="167" fontId="0" fillId="7" borderId="7" xfId="2" applyNumberFormat="1" applyFont="1" applyFill="1" applyBorder="1" applyAlignment="1"/>
    <xf numFmtId="167" fontId="0" fillId="7" borderId="1" xfId="2" applyNumberFormat="1" applyFont="1" applyFill="1" applyBorder="1" applyAlignment="1"/>
    <xf numFmtId="0" fontId="0" fillId="7" borderId="6" xfId="0" applyFont="1" applyFill="1" applyBorder="1" applyAlignment="1">
      <alignment horizontal="center"/>
    </xf>
    <xf numFmtId="0" fontId="12" fillId="0" borderId="0" xfId="0" quotePrefix="1" applyFont="1" applyAlignment="1">
      <alignment horizontal="right"/>
    </xf>
    <xf numFmtId="14" fontId="0" fillId="0" borderId="1" xfId="1" applyNumberFormat="1" applyFont="1" applyFill="1" applyBorder="1" applyAlignment="1">
      <alignment horizontal="right"/>
    </xf>
    <xf numFmtId="0" fontId="1" fillId="8" borderId="1" xfId="0" applyFont="1" applyFill="1" applyBorder="1" applyAlignment="1">
      <alignment horizontal="left"/>
    </xf>
    <xf numFmtId="167" fontId="0" fillId="0" borderId="1" xfId="2" applyNumberFormat="1" applyFont="1" applyBorder="1" applyAlignment="1">
      <alignment horizontal="left"/>
    </xf>
    <xf numFmtId="167" fontId="0" fillId="0" borderId="1" xfId="2" applyNumberFormat="1" applyFont="1" applyFill="1" applyBorder="1" applyAlignment="1">
      <alignment horizontal="right"/>
    </xf>
    <xf numFmtId="0" fontId="0" fillId="0" borderId="0" xfId="0" applyFont="1" applyFill="1" applyBorder="1" applyAlignment="1"/>
    <xf numFmtId="0" fontId="13" fillId="0" borderId="0" xfId="0" applyFont="1" applyFill="1" applyBorder="1" applyAlignment="1"/>
    <xf numFmtId="0" fontId="1" fillId="0" borderId="0" xfId="0" applyFont="1" applyFill="1" applyBorder="1" applyAlignment="1">
      <alignment horizontal="right"/>
    </xf>
    <xf numFmtId="0" fontId="1" fillId="0" borderId="0" xfId="0" applyFont="1" applyFill="1" applyBorder="1" applyAlignment="1"/>
    <xf numFmtId="0" fontId="15" fillId="4" borderId="1" xfId="0" applyFont="1" applyFill="1" applyBorder="1" applyAlignment="1">
      <alignment horizontal="right"/>
    </xf>
    <xf numFmtId="167" fontId="15" fillId="0" borderId="1" xfId="2" applyNumberFormat="1" applyFont="1" applyBorder="1" applyAlignment="1"/>
    <xf numFmtId="0" fontId="18" fillId="4" borderId="1" xfId="0" applyFont="1" applyFill="1" applyBorder="1" applyAlignment="1">
      <alignment horizontal="right"/>
    </xf>
    <xf numFmtId="167" fontId="18" fillId="0" borderId="1" xfId="2" applyNumberFormat="1" applyFont="1" applyBorder="1" applyAlignment="1"/>
    <xf numFmtId="0" fontId="0" fillId="0" borderId="0" xfId="0" applyFont="1" applyAlignment="1" applyProtection="1">
      <protection locked="0"/>
    </xf>
    <xf numFmtId="0" fontId="14" fillId="0" borderId="0" xfId="0" applyFont="1" applyAlignment="1" applyProtection="1">
      <alignment horizontal="right"/>
      <protection locked="0"/>
    </xf>
    <xf numFmtId="0" fontId="12" fillId="0" borderId="0" xfId="0" quotePrefix="1" applyFont="1" applyAlignment="1" applyProtection="1">
      <alignment horizontal="right"/>
      <protection locked="0"/>
    </xf>
    <xf numFmtId="14" fontId="0" fillId="0" borderId="1" xfId="1" applyNumberFormat="1" applyFont="1" applyFill="1" applyBorder="1" applyAlignment="1" applyProtection="1">
      <alignment horizontal="right"/>
      <protection locked="0"/>
    </xf>
    <xf numFmtId="0" fontId="1" fillId="8" borderId="1" xfId="0" applyFont="1" applyFill="1" applyBorder="1" applyAlignment="1" applyProtection="1">
      <alignment horizontal="left"/>
      <protection locked="0"/>
    </xf>
    <xf numFmtId="167" fontId="0" fillId="0" borderId="1" xfId="2" applyNumberFormat="1" applyFont="1" applyBorder="1" applyAlignment="1" applyProtection="1">
      <alignment horizontal="left"/>
      <protection locked="0"/>
    </xf>
    <xf numFmtId="167" fontId="0" fillId="0" borderId="1" xfId="2" applyNumberFormat="1" applyFont="1" applyFill="1" applyBorder="1" applyAlignment="1" applyProtection="1">
      <alignment horizontal="right"/>
      <protection locked="0"/>
    </xf>
    <xf numFmtId="167" fontId="0" fillId="0" borderId="0" xfId="0" applyNumberFormat="1" applyFont="1" applyAlignment="1" applyProtection="1">
      <protection locked="0"/>
    </xf>
    <xf numFmtId="0" fontId="0" fillId="0" borderId="0" xfId="0" applyFont="1" applyFill="1" applyBorder="1" applyAlignment="1" applyProtection="1">
      <protection locked="0"/>
    </xf>
    <xf numFmtId="167" fontId="0" fillId="0" borderId="0" xfId="2" applyNumberFormat="1" applyFont="1" applyAlignment="1" applyProtection="1">
      <protection locked="0"/>
    </xf>
    <xf numFmtId="0" fontId="15" fillId="4" borderId="1" xfId="0" applyFont="1" applyFill="1" applyBorder="1" applyAlignment="1" applyProtection="1">
      <alignment horizontal="right"/>
      <protection locked="0"/>
    </xf>
    <xf numFmtId="167" fontId="15" fillId="0" borderId="1" xfId="2" applyNumberFormat="1" applyFont="1" applyBorder="1" applyAlignment="1" applyProtection="1">
      <protection locked="0"/>
    </xf>
    <xf numFmtId="0" fontId="18" fillId="4" borderId="1" xfId="0" applyFont="1" applyFill="1" applyBorder="1" applyAlignment="1" applyProtection="1">
      <alignment horizontal="right"/>
      <protection locked="0"/>
    </xf>
    <xf numFmtId="167" fontId="18" fillId="0" borderId="1" xfId="2" applyNumberFormat="1" applyFont="1" applyBorder="1" applyAlignment="1" applyProtection="1">
      <protection locked="0"/>
    </xf>
    <xf numFmtId="167" fontId="22" fillId="13" borderId="10" xfId="2" applyNumberFormat="1" applyFont="1" applyFill="1" applyBorder="1" applyAlignment="1" applyProtection="1">
      <alignment horizontal="right"/>
    </xf>
    <xf numFmtId="0" fontId="22" fillId="13" borderId="10" xfId="0" applyFont="1" applyFill="1" applyBorder="1" applyAlignment="1" applyProtection="1">
      <alignment horizontal="left"/>
      <protection locked="0"/>
    </xf>
    <xf numFmtId="0" fontId="17" fillId="12" borderId="9" xfId="0" applyFont="1" applyFill="1" applyBorder="1" applyAlignment="1" applyProtection="1">
      <alignment horizontal="right"/>
      <protection locked="0"/>
    </xf>
    <xf numFmtId="0" fontId="17" fillId="12" borderId="2" xfId="0" applyFont="1" applyFill="1" applyBorder="1" applyAlignment="1" applyProtection="1">
      <alignment horizontal="right"/>
      <protection locked="0"/>
    </xf>
    <xf numFmtId="0" fontId="19" fillId="11" borderId="0" xfId="0" applyFont="1" applyFill="1" applyAlignment="1" applyProtection="1">
      <alignment horizontal="center" vertical="center"/>
      <protection locked="0"/>
    </xf>
    <xf numFmtId="0" fontId="20" fillId="6" borderId="1" xfId="0" applyFont="1" applyFill="1" applyBorder="1" applyAlignment="1" applyProtection="1">
      <alignment horizontal="center"/>
      <protection locked="0"/>
    </xf>
    <xf numFmtId="0" fontId="13" fillId="14" borderId="1" xfId="0" applyFont="1" applyFill="1" applyBorder="1" applyAlignment="1" applyProtection="1">
      <alignment horizontal="center"/>
      <protection locked="0"/>
    </xf>
    <xf numFmtId="0" fontId="17" fillId="12" borderId="1" xfId="0" applyFont="1" applyFill="1" applyBorder="1" applyAlignment="1" applyProtection="1">
      <alignment horizontal="right"/>
      <protection locked="0"/>
    </xf>
    <xf numFmtId="0" fontId="23" fillId="0" borderId="11" xfId="0" applyFont="1" applyBorder="1" applyAlignment="1" applyProtection="1">
      <alignment horizontal="center"/>
      <protection locked="0"/>
    </xf>
    <xf numFmtId="0" fontId="21" fillId="14" borderId="1" xfId="0" applyFont="1" applyFill="1" applyBorder="1" applyAlignment="1" applyProtection="1">
      <alignment horizontal="center"/>
      <protection locked="0"/>
    </xf>
    <xf numFmtId="0" fontId="21" fillId="14" borderId="1" xfId="0" applyFont="1" applyFill="1" applyBorder="1" applyAlignment="1">
      <alignment horizontal="center"/>
    </xf>
    <xf numFmtId="0" fontId="10" fillId="0" borderId="9" xfId="0" applyFont="1" applyBorder="1" applyAlignment="1">
      <alignment horizontal="right"/>
    </xf>
    <xf numFmtId="0" fontId="10" fillId="0" borderId="2" xfId="0" applyFont="1" applyBorder="1" applyAlignment="1">
      <alignment horizontal="right"/>
    </xf>
    <xf numFmtId="167" fontId="10" fillId="0" borderId="9" xfId="2" applyNumberFormat="1" applyFont="1" applyBorder="1" applyAlignment="1">
      <alignment horizontal="right"/>
    </xf>
    <xf numFmtId="167" fontId="10" fillId="0" borderId="2" xfId="2" applyNumberFormat="1" applyFont="1" applyBorder="1" applyAlignment="1">
      <alignment horizontal="right"/>
    </xf>
    <xf numFmtId="0" fontId="19" fillId="11" borderId="0" xfId="0" applyFont="1" applyFill="1" applyAlignment="1">
      <alignment horizontal="center" vertical="center"/>
    </xf>
    <xf numFmtId="0" fontId="20" fillId="6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/>
    </xf>
    <xf numFmtId="0" fontId="17" fillId="12" borderId="1" xfId="0" applyFont="1" applyFill="1" applyBorder="1" applyAlignment="1">
      <alignment horizontal="right"/>
    </xf>
    <xf numFmtId="0" fontId="17" fillId="12" borderId="9" xfId="0" applyFont="1" applyFill="1" applyBorder="1" applyAlignment="1">
      <alignment horizontal="right"/>
    </xf>
    <xf numFmtId="0" fontId="17" fillId="12" borderId="2" xfId="0" applyFont="1" applyFill="1" applyBorder="1" applyAlignment="1">
      <alignment horizontal="right"/>
    </xf>
    <xf numFmtId="0" fontId="10" fillId="0" borderId="9" xfId="0" applyFont="1" applyFill="1" applyBorder="1" applyAlignment="1">
      <alignment horizontal="right"/>
    </xf>
    <xf numFmtId="0" fontId="10" fillId="0" borderId="2" xfId="0" applyFont="1" applyFill="1" applyBorder="1" applyAlignment="1">
      <alignment horizontal="right"/>
    </xf>
    <xf numFmtId="0" fontId="8" fillId="9" borderId="3" xfId="0" applyFont="1" applyFill="1" applyBorder="1" applyAlignment="1">
      <alignment horizontal="center" wrapText="1"/>
    </xf>
    <xf numFmtId="0" fontId="8" fillId="9" borderId="6" xfId="0" applyFont="1" applyFill="1" applyBorder="1" applyAlignment="1">
      <alignment horizontal="center" wrapText="1"/>
    </xf>
    <xf numFmtId="0" fontId="8" fillId="8" borderId="4" xfId="0" applyFont="1" applyFill="1" applyBorder="1" applyAlignment="1">
      <alignment horizontal="center"/>
    </xf>
    <xf numFmtId="0" fontId="8" fillId="8" borderId="5" xfId="0" applyFont="1" applyFill="1" applyBorder="1" applyAlignment="1">
      <alignment horizontal="center"/>
    </xf>
  </cellXfs>
  <cellStyles count="5">
    <cellStyle name="Milliers" xfId="2" builtinId="3"/>
    <cellStyle name="Milliers 2" xfId="3"/>
    <cellStyle name="Normal" xfId="0" builtinId="0"/>
    <cellStyle name="Normal 2" xfId="4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customschemas.google.com/relationships/workbookmetadata" Target="meta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4" Type="http://schemas.openxmlformats.org/officeDocument/2006/relationships/worksheet" Target="worksheets/sheet4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16</xdr:row>
      <xdr:rowOff>120650</xdr:rowOff>
    </xdr:from>
    <xdr:to>
      <xdr:col>6</xdr:col>
      <xdr:colOff>1384300</xdr:colOff>
      <xdr:row>18</xdr:row>
      <xdr:rowOff>30338</xdr:rowOff>
    </xdr:to>
    <xdr:sp macro="[0]!initialiser_mob" textlink="">
      <xdr:nvSpPr>
        <xdr:cNvPr id="2" name="Rectangle 1"/>
        <xdr:cNvSpPr/>
      </xdr:nvSpPr>
      <xdr:spPr>
        <a:xfrm>
          <a:off x="3048000" y="3117850"/>
          <a:ext cx="1295400" cy="277988"/>
        </a:xfrm>
        <a:prstGeom prst="rect">
          <a:avLst/>
        </a:prstGeom>
        <a:solidFill>
          <a:schemeClr val="accent4">
            <a:lumMod val="75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/>
            <a:t>Réinitialiser</a:t>
          </a:r>
        </a:p>
      </xdr:txBody>
    </xdr:sp>
    <xdr:clientData/>
  </xdr:twoCellAnchor>
  <xdr:twoCellAnchor>
    <xdr:from>
      <xdr:col>6</xdr:col>
      <xdr:colOff>1638300</xdr:colOff>
      <xdr:row>16</xdr:row>
      <xdr:rowOff>120650</xdr:rowOff>
    </xdr:from>
    <xdr:to>
      <xdr:col>7</xdr:col>
      <xdr:colOff>967316</xdr:colOff>
      <xdr:row>18</xdr:row>
      <xdr:rowOff>30338</xdr:rowOff>
    </xdr:to>
    <xdr:sp macro="[0]!capital" textlink="">
      <xdr:nvSpPr>
        <xdr:cNvPr id="3" name="Rectangle 2"/>
        <xdr:cNvSpPr/>
      </xdr:nvSpPr>
      <xdr:spPr>
        <a:xfrm>
          <a:off x="4597400" y="3117850"/>
          <a:ext cx="1316566" cy="277988"/>
        </a:xfrm>
        <a:prstGeom prst="rect">
          <a:avLst/>
        </a:prstGeom>
        <a:solidFill>
          <a:schemeClr val="accent4">
            <a:lumMod val="75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/>
            <a:t>CALCULER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520700</xdr:colOff>
      <xdr:row>17</xdr:row>
      <xdr:rowOff>19050</xdr:rowOff>
    </xdr:from>
    <xdr:to>
      <xdr:col>7</xdr:col>
      <xdr:colOff>323850</xdr:colOff>
      <xdr:row>18</xdr:row>
      <xdr:rowOff>112888</xdr:rowOff>
    </xdr:to>
    <xdr:sp macro="[0]!initialiser_mob2" textlink="">
      <xdr:nvSpPr>
        <xdr:cNvPr id="2" name="Rectangle 1"/>
        <xdr:cNvSpPr/>
      </xdr:nvSpPr>
      <xdr:spPr>
        <a:xfrm>
          <a:off x="3479800" y="3200400"/>
          <a:ext cx="1295400" cy="277988"/>
        </a:xfrm>
        <a:prstGeom prst="rect">
          <a:avLst/>
        </a:prstGeom>
        <a:solidFill>
          <a:schemeClr val="accent4">
            <a:lumMod val="75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/>
            <a:t>Réinitialiser</a:t>
          </a:r>
        </a:p>
      </xdr:txBody>
    </xdr:sp>
    <xdr:clientData/>
  </xdr:twoCellAnchor>
  <xdr:twoCellAnchor>
    <xdr:from>
      <xdr:col>7</xdr:col>
      <xdr:colOff>577850</xdr:colOff>
      <xdr:row>17</xdr:row>
      <xdr:rowOff>19050</xdr:rowOff>
    </xdr:from>
    <xdr:to>
      <xdr:col>7</xdr:col>
      <xdr:colOff>1894416</xdr:colOff>
      <xdr:row>18</xdr:row>
      <xdr:rowOff>112888</xdr:rowOff>
    </xdr:to>
    <xdr:sp macro="[0]!capital2" textlink="">
      <xdr:nvSpPr>
        <xdr:cNvPr id="3" name="Rectangle 2"/>
        <xdr:cNvSpPr/>
      </xdr:nvSpPr>
      <xdr:spPr>
        <a:xfrm>
          <a:off x="5029200" y="3200400"/>
          <a:ext cx="1316566" cy="277988"/>
        </a:xfrm>
        <a:prstGeom prst="rect">
          <a:avLst/>
        </a:prstGeom>
        <a:solidFill>
          <a:schemeClr val="accent4">
            <a:lumMod val="75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/>
            <a:t>CALCULER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nior.nguessan/AppData/Local/Microsoft/Windows/INetCache/Content.Outlook/J6ESOKAI/Simulateur%20Pr&#233;voyance%20MERCURIA%200203202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DE MORATALITE"/>
      <sheetName val="Données Techniques"/>
      <sheetName val="Prévoyance décès collective"/>
      <sheetName val="RECAP"/>
      <sheetName val="Feuil1"/>
      <sheetName val="Feuil2"/>
      <sheetName val="Feuil3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FFFF00"/>
  </sheetPr>
  <dimension ref="A2:M19"/>
  <sheetViews>
    <sheetView showGridLines="0" tabSelected="1" zoomScaleNormal="100" workbookViewId="0">
      <selection activeCell="D8" sqref="D8"/>
    </sheetView>
  </sheetViews>
  <sheetFormatPr baseColWidth="10" defaultColWidth="10.88671875" defaultRowHeight="14.4" x14ac:dyDescent="0.3"/>
  <cols>
    <col min="1" max="1" width="3.21875" style="63" customWidth="1"/>
    <col min="2" max="2" width="9.5546875" style="63" customWidth="1"/>
    <col min="3" max="3" width="11.44140625" style="63" customWidth="1"/>
    <col min="4" max="4" width="13.77734375" style="63" customWidth="1"/>
    <col min="5" max="5" width="1.88671875" style="63" customWidth="1"/>
    <col min="6" max="6" width="2.44140625" style="63" customWidth="1"/>
    <col min="7" max="7" width="28.44140625" style="63" customWidth="1"/>
    <col min="8" max="8" width="15.6640625" style="63" customWidth="1"/>
    <col min="9" max="9" width="2.33203125" style="63" customWidth="1"/>
    <col min="10" max="10" width="2" style="63" customWidth="1"/>
    <col min="11" max="11" width="19.44140625" style="63" customWidth="1"/>
    <col min="12" max="12" width="11.88671875" style="63" customWidth="1"/>
    <col min="13" max="16384" width="10.88671875" style="63"/>
  </cols>
  <sheetData>
    <row r="2" spans="1:13" x14ac:dyDescent="0.3">
      <c r="B2" s="81" t="s">
        <v>54</v>
      </c>
      <c r="C2" s="81"/>
      <c r="D2" s="81"/>
      <c r="E2" s="81"/>
      <c r="F2" s="81"/>
      <c r="G2" s="81"/>
      <c r="H2" s="81"/>
      <c r="I2" s="81"/>
      <c r="J2" s="81"/>
    </row>
    <row r="3" spans="1:13" x14ac:dyDescent="0.3">
      <c r="B3" s="81"/>
      <c r="C3" s="81"/>
      <c r="D3" s="81"/>
      <c r="E3" s="81"/>
      <c r="F3" s="81"/>
      <c r="G3" s="81"/>
      <c r="H3" s="81"/>
      <c r="I3" s="81"/>
      <c r="J3" s="81"/>
    </row>
    <row r="4" spans="1:13" x14ac:dyDescent="0.3">
      <c r="H4" s="64" t="s">
        <v>63</v>
      </c>
      <c r="I4" s="65" t="s">
        <v>40</v>
      </c>
    </row>
    <row r="6" spans="1:13" x14ac:dyDescent="0.3">
      <c r="B6" s="82" t="s">
        <v>41</v>
      </c>
      <c r="C6" s="82"/>
      <c r="D6" s="82"/>
      <c r="G6" s="83" t="s">
        <v>42</v>
      </c>
      <c r="H6" s="83"/>
    </row>
    <row r="7" spans="1:13" x14ac:dyDescent="0.3">
      <c r="B7" s="84" t="s">
        <v>43</v>
      </c>
      <c r="C7" s="84"/>
      <c r="D7" s="66">
        <v>32309</v>
      </c>
      <c r="E7" s="65" t="s">
        <v>40</v>
      </c>
      <c r="G7" s="67" t="s">
        <v>44</v>
      </c>
      <c r="H7" s="68" t="s">
        <v>45</v>
      </c>
    </row>
    <row r="8" spans="1:13" x14ac:dyDescent="0.3">
      <c r="B8" s="84" t="s">
        <v>46</v>
      </c>
      <c r="C8" s="84"/>
      <c r="D8" s="69">
        <v>500000</v>
      </c>
      <c r="E8" s="65" t="s">
        <v>40</v>
      </c>
      <c r="G8" s="67" t="s">
        <v>47</v>
      </c>
      <c r="H8" s="68" t="s">
        <v>48</v>
      </c>
      <c r="I8" s="65"/>
      <c r="L8" s="70"/>
    </row>
    <row r="9" spans="1:13" x14ac:dyDescent="0.3">
      <c r="B9" s="79" t="s">
        <v>49</v>
      </c>
      <c r="C9" s="80"/>
      <c r="D9" s="66">
        <v>45775</v>
      </c>
      <c r="E9" s="65"/>
      <c r="I9" s="65"/>
      <c r="L9" s="70"/>
    </row>
    <row r="10" spans="1:13" x14ac:dyDescent="0.3">
      <c r="I10" s="65"/>
      <c r="K10" s="71"/>
      <c r="L10" s="71"/>
    </row>
    <row r="11" spans="1:13" x14ac:dyDescent="0.3">
      <c r="B11" s="85" t="s">
        <v>64</v>
      </c>
      <c r="C11" s="85"/>
      <c r="D11" s="85"/>
      <c r="G11" s="72"/>
      <c r="H11" s="72"/>
      <c r="I11" s="72">
        <v>500000</v>
      </c>
      <c r="J11" s="72"/>
      <c r="K11" s="72"/>
      <c r="L11" s="72"/>
      <c r="M11" s="72"/>
    </row>
    <row r="12" spans="1:13" ht="15.6" x14ac:dyDescent="0.3">
      <c r="A12" s="65"/>
      <c r="B12" s="78" t="s">
        <v>46</v>
      </c>
      <c r="C12" s="78"/>
      <c r="D12" s="77">
        <f>IFERROR(VLOOKUP(D13,PA!B:G,D14+1,FALSE),0)</f>
        <v>500000.00000000006</v>
      </c>
      <c r="G12" s="86" t="s">
        <v>50</v>
      </c>
      <c r="H12" s="86"/>
    </row>
    <row r="13" spans="1:13" ht="15.6" x14ac:dyDescent="0.3">
      <c r="B13" s="78" t="s">
        <v>38</v>
      </c>
      <c r="C13" s="78"/>
      <c r="D13" s="77">
        <v>37</v>
      </c>
      <c r="G13" s="73" t="s">
        <v>51</v>
      </c>
      <c r="H13" s="74">
        <v>2500</v>
      </c>
    </row>
    <row r="14" spans="1:13" ht="15.6" x14ac:dyDescent="0.3">
      <c r="B14" s="78" t="s">
        <v>61</v>
      </c>
      <c r="C14" s="78"/>
      <c r="D14" s="77">
        <v>1</v>
      </c>
      <c r="G14" s="73" t="s">
        <v>52</v>
      </c>
      <c r="H14" s="74">
        <v>502500</v>
      </c>
    </row>
    <row r="15" spans="1:13" ht="15.6" x14ac:dyDescent="0.3">
      <c r="B15" s="78" t="s">
        <v>57</v>
      </c>
      <c r="C15" s="78"/>
      <c r="D15" s="77">
        <v>128993549.6068892</v>
      </c>
      <c r="G15" s="75" t="s">
        <v>53</v>
      </c>
      <c r="H15" s="76">
        <v>128993549.6068892</v>
      </c>
    </row>
    <row r="18" spans="4:4" x14ac:dyDescent="0.3">
      <c r="D18" s="72"/>
    </row>
    <row r="19" spans="4:4" x14ac:dyDescent="0.3">
      <c r="D19" s="72"/>
    </row>
  </sheetData>
  <sheetProtection selectLockedCells="1"/>
  <mergeCells count="12">
    <mergeCell ref="B15:C15"/>
    <mergeCell ref="B9:C9"/>
    <mergeCell ref="B2:J3"/>
    <mergeCell ref="B6:D6"/>
    <mergeCell ref="G6:H6"/>
    <mergeCell ref="B7:C7"/>
    <mergeCell ref="B8:C8"/>
    <mergeCell ref="B11:D11"/>
    <mergeCell ref="G12:H12"/>
    <mergeCell ref="B12:C12"/>
    <mergeCell ref="B13:C13"/>
    <mergeCell ref="B14:C1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"/>
  <sheetViews>
    <sheetView showGridLines="0" workbookViewId="0"/>
  </sheetViews>
  <sheetFormatPr baseColWidth="10"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rgb="FFFFFF00"/>
  </sheetPr>
  <dimension ref="A2:M20"/>
  <sheetViews>
    <sheetView showGridLines="0" workbookViewId="0">
      <selection activeCell="D8" sqref="D8"/>
    </sheetView>
  </sheetViews>
  <sheetFormatPr baseColWidth="10" defaultRowHeight="14.4" x14ac:dyDescent="0.3"/>
  <cols>
    <col min="1" max="1" width="3.21875" customWidth="1"/>
    <col min="2" max="2" width="7.44140625" customWidth="1"/>
    <col min="3" max="3" width="10.109375" customWidth="1"/>
    <col min="4" max="4" width="12.77734375" customWidth="1"/>
    <col min="5" max="5" width="1.88671875" customWidth="1"/>
    <col min="6" max="6" width="2.44140625" customWidth="1"/>
    <col min="7" max="7" width="21.33203125" customWidth="1"/>
    <col min="8" max="8" width="32.109375" customWidth="1"/>
    <col min="9" max="9" width="2.33203125" customWidth="1"/>
    <col min="10" max="10" width="2" customWidth="1"/>
    <col min="11" max="11" width="19.44140625" customWidth="1"/>
    <col min="12" max="12" width="11.88671875" customWidth="1"/>
  </cols>
  <sheetData>
    <row r="2" spans="1:13" x14ac:dyDescent="0.3">
      <c r="B2" s="92" t="s">
        <v>55</v>
      </c>
      <c r="C2" s="92"/>
      <c r="D2" s="92"/>
      <c r="E2" s="92"/>
      <c r="F2" s="92"/>
      <c r="G2" s="92"/>
      <c r="H2" s="92"/>
      <c r="I2" s="92"/>
      <c r="J2" s="92"/>
    </row>
    <row r="3" spans="1:13" x14ac:dyDescent="0.3">
      <c r="B3" s="92"/>
      <c r="C3" s="92"/>
      <c r="D3" s="92"/>
      <c r="E3" s="92"/>
      <c r="F3" s="92"/>
      <c r="G3" s="92"/>
      <c r="H3" s="92"/>
      <c r="I3" s="92"/>
      <c r="J3" s="92"/>
    </row>
    <row r="4" spans="1:13" x14ac:dyDescent="0.3">
      <c r="H4" s="64" t="s">
        <v>63</v>
      </c>
      <c r="I4" s="50" t="s">
        <v>40</v>
      </c>
    </row>
    <row r="6" spans="1:13" x14ac:dyDescent="0.3">
      <c r="B6" s="93" t="s">
        <v>41</v>
      </c>
      <c r="C6" s="93"/>
      <c r="D6" s="93"/>
      <c r="G6" s="94" t="s">
        <v>42</v>
      </c>
      <c r="H6" s="94"/>
    </row>
    <row r="7" spans="1:13" x14ac:dyDescent="0.3">
      <c r="B7" s="95" t="s">
        <v>43</v>
      </c>
      <c r="C7" s="95"/>
      <c r="D7" s="51">
        <v>29368</v>
      </c>
      <c r="E7" s="50" t="s">
        <v>40</v>
      </c>
      <c r="G7" s="52" t="s">
        <v>44</v>
      </c>
      <c r="H7" s="53">
        <f>D8</f>
        <v>5000000</v>
      </c>
    </row>
    <row r="8" spans="1:13" x14ac:dyDescent="0.3">
      <c r="B8" s="95" t="s">
        <v>57</v>
      </c>
      <c r="C8" s="95"/>
      <c r="D8" s="54">
        <v>5000000</v>
      </c>
      <c r="E8" s="50" t="s">
        <v>40</v>
      </c>
      <c r="G8" s="52" t="s">
        <v>56</v>
      </c>
      <c r="H8" s="53">
        <v>4000000</v>
      </c>
      <c r="I8" s="50"/>
      <c r="L8" s="29"/>
    </row>
    <row r="9" spans="1:13" x14ac:dyDescent="0.3">
      <c r="B9" s="96" t="s">
        <v>49</v>
      </c>
      <c r="C9" s="97"/>
      <c r="D9" s="51">
        <v>45775</v>
      </c>
      <c r="E9" s="50"/>
      <c r="G9" s="98" t="s">
        <v>58</v>
      </c>
      <c r="H9" s="99"/>
      <c r="I9" s="50"/>
      <c r="L9" s="29"/>
    </row>
    <row r="10" spans="1:13" x14ac:dyDescent="0.3">
      <c r="G10" s="88" t="s">
        <v>59</v>
      </c>
      <c r="H10" s="89"/>
      <c r="I10" s="50"/>
      <c r="K10" s="55"/>
      <c r="L10" s="55"/>
    </row>
    <row r="11" spans="1:13" x14ac:dyDescent="0.3">
      <c r="G11" s="90" t="s">
        <v>60</v>
      </c>
      <c r="H11" s="91"/>
      <c r="I11" s="43"/>
      <c r="J11" s="43"/>
      <c r="K11" s="43"/>
      <c r="L11" s="43"/>
      <c r="M11" s="43"/>
    </row>
    <row r="12" spans="1:13" x14ac:dyDescent="0.3">
      <c r="G12" s="43"/>
      <c r="H12" s="43"/>
      <c r="I12" s="43"/>
      <c r="J12" s="43"/>
      <c r="K12" s="43"/>
      <c r="L12" s="43"/>
      <c r="M12" s="43"/>
    </row>
    <row r="13" spans="1:13" ht="15.6" x14ac:dyDescent="0.3">
      <c r="A13" s="50"/>
      <c r="B13" s="55"/>
      <c r="C13" s="56"/>
      <c r="D13" s="55"/>
      <c r="G13" s="87" t="s">
        <v>50</v>
      </c>
      <c r="H13" s="87"/>
    </row>
    <row r="14" spans="1:13" ht="15.6" x14ac:dyDescent="0.3">
      <c r="B14" s="57"/>
      <c r="C14" s="58"/>
      <c r="D14" s="55"/>
      <c r="G14" s="59" t="s">
        <v>62</v>
      </c>
      <c r="H14" s="60">
        <v>9000000</v>
      </c>
    </row>
    <row r="15" spans="1:13" ht="15.6" x14ac:dyDescent="0.3">
      <c r="B15" s="57"/>
      <c r="C15" s="58"/>
      <c r="D15" s="55"/>
      <c r="G15" s="59" t="s">
        <v>51</v>
      </c>
      <c r="H15" s="60">
        <v>2500</v>
      </c>
    </row>
    <row r="16" spans="1:13" ht="15.6" x14ac:dyDescent="0.3">
      <c r="B16" s="57"/>
      <c r="C16" s="58"/>
      <c r="D16" s="55"/>
      <c r="G16" s="61" t="s">
        <v>52</v>
      </c>
      <c r="H16" s="62">
        <v>53300</v>
      </c>
    </row>
    <row r="19" spans="4:4" x14ac:dyDescent="0.3">
      <c r="D19" s="43"/>
    </row>
    <row r="20" spans="4:4" x14ac:dyDescent="0.3">
      <c r="D20" s="43"/>
    </row>
  </sheetData>
  <mergeCells count="10">
    <mergeCell ref="G13:H13"/>
    <mergeCell ref="G10:H10"/>
    <mergeCell ref="G11:H11"/>
    <mergeCell ref="B2:J3"/>
    <mergeCell ref="B6:D6"/>
    <mergeCell ref="G6:H6"/>
    <mergeCell ref="B7:C7"/>
    <mergeCell ref="B8:C8"/>
    <mergeCell ref="B9:C9"/>
    <mergeCell ref="G9:H9"/>
  </mergeCells>
  <dataValidations count="1">
    <dataValidation type="list" allowBlank="1" showInputMessage="1" showErrorMessage="1" sqref="D8">
      <formula1>"2000000,5000000,7500000,Null"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5" tint="-0.249977111117893"/>
  </sheetPr>
  <dimension ref="B2:I56"/>
  <sheetViews>
    <sheetView showGridLines="0" zoomScale="70" zoomScaleNormal="7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baseColWidth="10" defaultRowHeight="14.4" x14ac:dyDescent="0.3"/>
  <cols>
    <col min="1" max="1" width="6.21875" customWidth="1"/>
    <col min="2" max="2" width="13" customWidth="1"/>
    <col min="3" max="4" width="12.6640625" customWidth="1"/>
    <col min="5" max="5" width="12" customWidth="1"/>
    <col min="6" max="6" width="12.44140625" customWidth="1"/>
    <col min="7" max="7" width="15.44140625" customWidth="1"/>
    <col min="8" max="8" width="9" customWidth="1"/>
    <col min="9" max="9" width="5.44140625" customWidth="1"/>
  </cols>
  <sheetData>
    <row r="2" spans="2:9" ht="21" x14ac:dyDescent="0.4">
      <c r="F2" s="33" t="s">
        <v>37</v>
      </c>
      <c r="G2" s="32" t="e">
        <f>#REF!</f>
        <v>#REF!</v>
      </c>
      <c r="H2" s="32"/>
    </row>
    <row r="3" spans="2:9" ht="15" thickBot="1" x14ac:dyDescent="0.35">
      <c r="B3" s="22" t="s">
        <v>8</v>
      </c>
      <c r="H3" s="34"/>
    </row>
    <row r="4" spans="2:9" x14ac:dyDescent="0.3">
      <c r="B4" s="100" t="s">
        <v>30</v>
      </c>
      <c r="C4" s="102" t="s">
        <v>31</v>
      </c>
      <c r="D4" s="102"/>
      <c r="E4" s="102"/>
      <c r="F4" s="102"/>
      <c r="G4" s="103"/>
      <c r="H4" s="37"/>
    </row>
    <row r="5" spans="2:9" x14ac:dyDescent="0.3">
      <c r="B5" s="101"/>
      <c r="C5" s="25">
        <v>1</v>
      </c>
      <c r="D5" s="25">
        <v>2</v>
      </c>
      <c r="E5" s="25">
        <v>3</v>
      </c>
      <c r="F5" s="25">
        <v>4</v>
      </c>
      <c r="G5" s="26">
        <v>5</v>
      </c>
      <c r="H5" s="38"/>
    </row>
    <row r="6" spans="2:9" x14ac:dyDescent="0.3">
      <c r="B6" s="24">
        <v>20</v>
      </c>
      <c r="C6" s="27" t="e">
        <f>$G$2*((VLOOKUP(PA!$B6,CIMA_H!$A:$H,8,FALSE)-VLOOKUP(PA!$B6+1,CIMA_H!$A:$H,8,FALSE))/(VLOOKUP(PA!$B6,CIMA_H!$A:$H,5,FALSE)))/(1-Param!$E$8-Param!$E$9-Param!$E$10)</f>
        <v>#REF!</v>
      </c>
      <c r="D6" s="27" t="e">
        <f>$G$2*((VLOOKUP(PA!$B6,CIMA_H!$A:$H,8,FALSE)-VLOOKUP(PA!$B6+2,CIMA_H!$A:$H,8,FALSE))/(VLOOKUP(PA!$B6,CIMA_H!$A:$H,5,FALSE)))/(1-Param!$E$8-Param!$E$9-Param!$E$10)</f>
        <v>#REF!</v>
      </c>
      <c r="E6" s="27" t="e">
        <f>$G$2*((VLOOKUP(PA!$B6,CIMA_H!$A:$H,8,FALSE)-VLOOKUP(PA!$B6+3,CIMA_H!$A:$H,8,FALSE))/(VLOOKUP(PA!$B6,CIMA_H!$A:$H,5,FALSE)))/(1-Param!$E$8-Param!$E$9-Param!$E$10)</f>
        <v>#REF!</v>
      </c>
      <c r="F6" s="27" t="e">
        <f>$G$2*((VLOOKUP(PA!$B6,CIMA_H!$A:$H,8,FALSE)-VLOOKUP(PA!$B6+4,CIMA_H!$A:$H,8,FALSE))/(VLOOKUP(PA!$B6,CIMA_H!$A:$H,5,FALSE)))/(1-Param!$E$8-Param!$E$9-Param!$E$10)</f>
        <v>#REF!</v>
      </c>
      <c r="G6" s="27" t="e">
        <f>$G$2*((VLOOKUP(PA!$B6,CIMA_H!$A:$H,8,FALSE)-VLOOKUP(PA!$B6+5,CIMA_H!$A:$H,8,FALSE))/(VLOOKUP(PA!$B6,CIMA_H!$A:$H,5,FALSE)))/(1-Param!$E$8-Param!$E$9-Param!$E$10)</f>
        <v>#REF!</v>
      </c>
      <c r="H6" s="21"/>
    </row>
    <row r="7" spans="2:9" x14ac:dyDescent="0.3">
      <c r="B7" s="24">
        <v>21</v>
      </c>
      <c r="C7" s="27" t="e">
        <f>$G$2*((VLOOKUP(PA!$B7,CIMA_H!$A:$H,8,FALSE)-VLOOKUP(PA!$B7+1,CIMA_H!$A:$H,8,FALSE))/(VLOOKUP(PA!$B7,CIMA_H!$A:$H,5,FALSE)))/(1-Param!$E$8-Param!$E$9-Param!$E$10)</f>
        <v>#REF!</v>
      </c>
      <c r="D7" s="27" t="e">
        <f>$G$2*((VLOOKUP(PA!$B7,CIMA_H!$A:$H,8,FALSE)-VLOOKUP(PA!$B7+2,CIMA_H!$A:$H,8,FALSE))/(VLOOKUP(PA!$B7,CIMA_H!$A:$H,5,FALSE)))/(1-Param!$E$8-Param!$E$9-Param!$E$10)</f>
        <v>#REF!</v>
      </c>
      <c r="E7" s="27" t="e">
        <f>$G$2*((VLOOKUP(PA!$B7,CIMA_H!$A:$H,8,FALSE)-VLOOKUP(PA!$B7+3,CIMA_H!$A:$H,8,FALSE))/(VLOOKUP(PA!$B7,CIMA_H!$A:$H,5,FALSE)))/(1-Param!$E$8-Param!$E$9-Param!$E$10)</f>
        <v>#REF!</v>
      </c>
      <c r="F7" s="27" t="e">
        <f>$G$2*((VLOOKUP(PA!$B7,CIMA_H!$A:$H,8,FALSE)-VLOOKUP(PA!$B7+4,CIMA_H!$A:$H,8,FALSE))/(VLOOKUP(PA!$B7,CIMA_H!$A:$H,5,FALSE)))/(1-Param!$E$8-Param!$E$9-Param!$E$10)</f>
        <v>#REF!</v>
      </c>
      <c r="G7" s="27" t="e">
        <f>$G$2*((VLOOKUP(PA!$B7,CIMA_H!$A:$H,8,FALSE)-VLOOKUP(PA!$B7+5,CIMA_H!$A:$H,8,FALSE))/(VLOOKUP(PA!$B7,CIMA_H!$A:$H,5,FALSE)))/(1-Param!$E$8-Param!$E$9-Param!$E$10)</f>
        <v>#REF!</v>
      </c>
      <c r="H7" s="21"/>
    </row>
    <row r="8" spans="2:9" x14ac:dyDescent="0.3">
      <c r="B8" s="24">
        <v>22</v>
      </c>
      <c r="C8" s="27" t="e">
        <f>$G$2*((VLOOKUP(PA!$B8,CIMA_H!$A:$H,8,FALSE)-VLOOKUP(PA!$B8+1,CIMA_H!$A:$H,8,FALSE))/(VLOOKUP(PA!$B8,CIMA_H!$A:$H,5,FALSE)))/(1-Param!$E$8-Param!$E$9-Param!$E$10)</f>
        <v>#REF!</v>
      </c>
      <c r="D8" s="27" t="e">
        <f>$G$2*((VLOOKUP(PA!$B8,CIMA_H!$A:$H,8,FALSE)-VLOOKUP(PA!$B8+2,CIMA_H!$A:$H,8,FALSE))/(VLOOKUP(PA!$B8,CIMA_H!$A:$H,5,FALSE)))/(1-Param!$E$8-Param!$E$9-Param!$E$10)</f>
        <v>#REF!</v>
      </c>
      <c r="E8" s="27" t="e">
        <f>$G$2*((VLOOKUP(PA!$B8,CIMA_H!$A:$H,8,FALSE)-VLOOKUP(PA!$B8+3,CIMA_H!$A:$H,8,FALSE))/(VLOOKUP(PA!$B8,CIMA_H!$A:$H,5,FALSE)))/(1-Param!$E$8-Param!$E$9-Param!$E$10)</f>
        <v>#REF!</v>
      </c>
      <c r="F8" s="27" t="e">
        <f>$G$2*((VLOOKUP(PA!$B8,CIMA_H!$A:$H,8,FALSE)-VLOOKUP(PA!$B8+4,CIMA_H!$A:$H,8,FALSE))/(VLOOKUP(PA!$B8,CIMA_H!$A:$H,5,FALSE)))/(1-Param!$E$8-Param!$E$9-Param!$E$10)</f>
        <v>#REF!</v>
      </c>
      <c r="G8" s="27" t="e">
        <f>$G$2*((VLOOKUP(PA!$B8,CIMA_H!$A:$H,8,FALSE)-VLOOKUP(PA!$B8+5,CIMA_H!$A:$H,8,FALSE))/(VLOOKUP(PA!$B8,CIMA_H!$A:$H,5,FALSE)))/(1-Param!$E$8-Param!$E$9-Param!$E$10)</f>
        <v>#REF!</v>
      </c>
      <c r="H8" s="21"/>
    </row>
    <row r="9" spans="2:9" x14ac:dyDescent="0.3">
      <c r="B9" s="24">
        <v>23</v>
      </c>
      <c r="C9" s="27" t="e">
        <f>$G$2*((VLOOKUP(PA!$B9,CIMA_H!$A:$H,8,FALSE)-VLOOKUP(PA!$B9+1,CIMA_H!$A:$H,8,FALSE))/(VLOOKUP(PA!$B9,CIMA_H!$A:$H,5,FALSE)))/(1-Param!$E$8-Param!$E$9-Param!$E$10)</f>
        <v>#REF!</v>
      </c>
      <c r="D9" s="27" t="e">
        <f>$G$2*((VLOOKUP(PA!$B9,CIMA_H!$A:$H,8,FALSE)-VLOOKUP(PA!$B9+2,CIMA_H!$A:$H,8,FALSE))/(VLOOKUP(PA!$B9,CIMA_H!$A:$H,5,FALSE)))/(1-Param!$E$8-Param!$E$9-Param!$E$10)</f>
        <v>#REF!</v>
      </c>
      <c r="E9" s="27" t="e">
        <f>$G$2*((VLOOKUP(PA!$B9,CIMA_H!$A:$H,8,FALSE)-VLOOKUP(PA!$B9+3,CIMA_H!$A:$H,8,FALSE))/(VLOOKUP(PA!$B9,CIMA_H!$A:$H,5,FALSE)))/(1-Param!$E$8-Param!$E$9-Param!$E$10)</f>
        <v>#REF!</v>
      </c>
      <c r="F9" s="27" t="e">
        <f>$G$2*((VLOOKUP(PA!$B9,CIMA_H!$A:$H,8,FALSE)-VLOOKUP(PA!$B9+4,CIMA_H!$A:$H,8,FALSE))/(VLOOKUP(PA!$B9,CIMA_H!$A:$H,5,FALSE)))/(1-Param!$E$8-Param!$E$9-Param!$E$10)</f>
        <v>#REF!</v>
      </c>
      <c r="G9" s="27" t="e">
        <f>$G$2*((VLOOKUP(PA!$B9,CIMA_H!$A:$H,8,FALSE)-VLOOKUP(PA!$B9+5,CIMA_H!$A:$H,8,FALSE))/(VLOOKUP(PA!$B9,CIMA_H!$A:$H,5,FALSE)))/(1-Param!$E$8-Param!$E$9-Param!$E$10)</f>
        <v>#REF!</v>
      </c>
      <c r="H9" s="21"/>
    </row>
    <row r="10" spans="2:9" x14ac:dyDescent="0.3">
      <c r="B10" s="24">
        <v>24</v>
      </c>
      <c r="C10" s="27" t="e">
        <f>$G$2*((VLOOKUP(PA!$B10,CIMA_H!$A:$H,8,FALSE)-VLOOKUP(PA!$B10+1,CIMA_H!$A:$H,8,FALSE))/(VLOOKUP(PA!$B10,CIMA_H!$A:$H,5,FALSE)))/(1-Param!$E$8-Param!$E$9-Param!$E$10)</f>
        <v>#REF!</v>
      </c>
      <c r="D10" s="27" t="e">
        <f>$G$2*((VLOOKUP(PA!$B10,CIMA_H!$A:$H,8,FALSE)-VLOOKUP(PA!$B10+2,CIMA_H!$A:$H,8,FALSE))/(VLOOKUP(PA!$B10,CIMA_H!$A:$H,5,FALSE)))/(1-Param!$E$8-Param!$E$9-Param!$E$10)</f>
        <v>#REF!</v>
      </c>
      <c r="E10" s="27" t="e">
        <f>$G$2*((VLOOKUP(PA!$B10,CIMA_H!$A:$H,8,FALSE)-VLOOKUP(PA!$B10+3,CIMA_H!$A:$H,8,FALSE))/(VLOOKUP(PA!$B10,CIMA_H!$A:$H,5,FALSE)))/(1-Param!$E$8-Param!$E$9-Param!$E$10)</f>
        <v>#REF!</v>
      </c>
      <c r="F10" s="27" t="e">
        <f>$G$2*((VLOOKUP(PA!$B10,CIMA_H!$A:$H,8,FALSE)-VLOOKUP(PA!$B10+4,CIMA_H!$A:$H,8,FALSE))/(VLOOKUP(PA!$B10,CIMA_H!$A:$H,5,FALSE)))/(1-Param!$E$8-Param!$E$9-Param!$E$10)</f>
        <v>#REF!</v>
      </c>
      <c r="G10" s="27" t="e">
        <f>$G$2*((VLOOKUP(PA!$B10,CIMA_H!$A:$H,8,FALSE)-VLOOKUP(PA!$B10+5,CIMA_H!$A:$H,8,FALSE))/(VLOOKUP(PA!$B10,CIMA_H!$A:$H,5,FALSE)))/(1-Param!$E$8-Param!$E$9-Param!$E$10)</f>
        <v>#REF!</v>
      </c>
      <c r="H10" s="21"/>
    </row>
    <row r="11" spans="2:9" x14ac:dyDescent="0.3">
      <c r="B11" s="24">
        <v>25</v>
      </c>
      <c r="C11" s="27" t="e">
        <f>$G$2*((VLOOKUP(PA!$B11,CIMA_H!$A:$H,8,FALSE)-VLOOKUP(PA!$B11+1,CIMA_H!$A:$H,8,FALSE))/(VLOOKUP(PA!$B11,CIMA_H!$A:$H,5,FALSE)))/(1-Param!$E$8-Param!$E$9-Param!$E$10)</f>
        <v>#REF!</v>
      </c>
      <c r="D11" s="27" t="e">
        <f>$G$2*((VLOOKUP(PA!$B11,CIMA_H!$A:$H,8,FALSE)-VLOOKUP(PA!$B11+2,CIMA_H!$A:$H,8,FALSE))/(VLOOKUP(PA!$B11,CIMA_H!$A:$H,5,FALSE)))/(1-Param!$E$8-Param!$E$9-Param!$E$10)</f>
        <v>#REF!</v>
      </c>
      <c r="E11" s="27" t="e">
        <f>$G$2*((VLOOKUP(PA!$B11,CIMA_H!$A:$H,8,FALSE)-VLOOKUP(PA!$B11+3,CIMA_H!$A:$H,8,FALSE))/(VLOOKUP(PA!$B11,CIMA_H!$A:$H,5,FALSE)))/(1-Param!$E$8-Param!$E$9-Param!$E$10)</f>
        <v>#REF!</v>
      </c>
      <c r="F11" s="27" t="e">
        <f>$G$2*((VLOOKUP(PA!$B11,CIMA_H!$A:$H,8,FALSE)-VLOOKUP(PA!$B11+4,CIMA_H!$A:$H,8,FALSE))/(VLOOKUP(PA!$B11,CIMA_H!$A:$H,5,FALSE)))/(1-Param!$E$8-Param!$E$9-Param!$E$10)</f>
        <v>#REF!</v>
      </c>
      <c r="G11" s="27" t="e">
        <f>$G$2*((VLOOKUP(PA!$B11,CIMA_H!$A:$H,8,FALSE)-VLOOKUP(PA!$B11+5,CIMA_H!$A:$H,8,FALSE))/(VLOOKUP(PA!$B11,CIMA_H!$A:$H,5,FALSE)))/(1-Param!$E$8-Param!$E$9-Param!$E$10)</f>
        <v>#REF!</v>
      </c>
      <c r="H11" s="21"/>
    </row>
    <row r="12" spans="2:9" x14ac:dyDescent="0.3">
      <c r="B12" s="24">
        <v>26</v>
      </c>
      <c r="C12" s="27" t="e">
        <f>$G$2*((VLOOKUP(PA!$B12,CIMA_H!$A:$H,8,FALSE)-VLOOKUP(PA!$B12+1,CIMA_H!$A:$H,8,FALSE))/(VLOOKUP(PA!$B12,CIMA_H!$A:$H,5,FALSE)))/(1-Param!$E$8-Param!$E$9-Param!$E$10)</f>
        <v>#REF!</v>
      </c>
      <c r="D12" s="27" t="e">
        <f>$G$2*((VLOOKUP(PA!$B12,CIMA_H!$A:$H,8,FALSE)-VLOOKUP(PA!$B12+2,CIMA_H!$A:$H,8,FALSE))/(VLOOKUP(PA!$B12,CIMA_H!$A:$H,5,FALSE)))/(1-Param!$E$8-Param!$E$9-Param!$E$10)</f>
        <v>#REF!</v>
      </c>
      <c r="E12" s="27" t="e">
        <f>$G$2*((VLOOKUP(PA!$B12,CIMA_H!$A:$H,8,FALSE)-VLOOKUP(PA!$B12+3,CIMA_H!$A:$H,8,FALSE))/(VLOOKUP(PA!$B12,CIMA_H!$A:$H,5,FALSE)))/(1-Param!$E$8-Param!$E$9-Param!$E$10)</f>
        <v>#REF!</v>
      </c>
      <c r="F12" s="27" t="e">
        <f>$G$2*((VLOOKUP(PA!$B12,CIMA_H!$A:$H,8,FALSE)-VLOOKUP(PA!$B12+4,CIMA_H!$A:$H,8,FALSE))/(VLOOKUP(PA!$B12,CIMA_H!$A:$H,5,FALSE)))/(1-Param!$E$8-Param!$E$9-Param!$E$10)</f>
        <v>#REF!</v>
      </c>
      <c r="G12" s="27" t="e">
        <f>$G$2*((VLOOKUP(PA!$B12,CIMA_H!$A:$H,8,FALSE)-VLOOKUP(PA!$B12+5,CIMA_H!$A:$H,8,FALSE))/(VLOOKUP(PA!$B12,CIMA_H!$A:$H,5,FALSE)))/(1-Param!$E$8-Param!$E$9-Param!$E$10)</f>
        <v>#REF!</v>
      </c>
      <c r="H12" s="21"/>
    </row>
    <row r="13" spans="2:9" x14ac:dyDescent="0.3">
      <c r="B13" s="24">
        <v>27</v>
      </c>
      <c r="C13" s="27" t="e">
        <f>$G$2*((VLOOKUP(PA!$B13,CIMA_H!$A:$H,8,FALSE)-VLOOKUP(PA!$B13+1,CIMA_H!$A:$H,8,FALSE))/(VLOOKUP(PA!$B13,CIMA_H!$A:$H,5,FALSE)))/(1-Param!$E$8-Param!$E$9-Param!$E$10)</f>
        <v>#REF!</v>
      </c>
      <c r="D13" s="27" t="e">
        <f>$G$2*((VLOOKUP(PA!$B13,CIMA_H!$A:$H,8,FALSE)-VLOOKUP(PA!$B13+2,CIMA_H!$A:$H,8,FALSE))/(VLOOKUP(PA!$B13,CIMA_H!$A:$H,5,FALSE)))/(1-Param!$E$8-Param!$E$9-Param!$E$10)</f>
        <v>#REF!</v>
      </c>
      <c r="E13" s="27" t="e">
        <f>$G$2*((VLOOKUP(PA!$B13,CIMA_H!$A:$H,8,FALSE)-VLOOKUP(PA!$B13+3,CIMA_H!$A:$H,8,FALSE))/(VLOOKUP(PA!$B13,CIMA_H!$A:$H,5,FALSE)))/(1-Param!$E$8-Param!$E$9-Param!$E$10)</f>
        <v>#REF!</v>
      </c>
      <c r="F13" s="27" t="e">
        <f>$G$2*((VLOOKUP(PA!$B13,CIMA_H!$A:$H,8,FALSE)-VLOOKUP(PA!$B13+4,CIMA_H!$A:$H,8,FALSE))/(VLOOKUP(PA!$B13,CIMA_H!$A:$H,5,FALSE)))/(1-Param!$E$8-Param!$E$9-Param!$E$10)</f>
        <v>#REF!</v>
      </c>
      <c r="G13" s="27" t="e">
        <f>$G$2*((VLOOKUP(PA!$B13,CIMA_H!$A:$H,8,FALSE)-VLOOKUP(PA!$B13+5,CIMA_H!$A:$H,8,FALSE))/(VLOOKUP(PA!$B13,CIMA_H!$A:$H,5,FALSE)))/(1-Param!$E$8-Param!$E$9-Param!$E$10)</f>
        <v>#REF!</v>
      </c>
      <c r="H13" s="21"/>
    </row>
    <row r="14" spans="2:9" x14ac:dyDescent="0.3">
      <c r="B14" s="24">
        <v>28</v>
      </c>
      <c r="C14" s="27" t="e">
        <f>$G$2*((VLOOKUP(PA!$B14,CIMA_H!$A:$H,8,FALSE)-VLOOKUP(PA!$B14+1,CIMA_H!$A:$H,8,FALSE))/(VLOOKUP(PA!$B14,CIMA_H!$A:$H,5,FALSE)))/(1-Param!$E$8-Param!$E$9-Param!$E$10)</f>
        <v>#REF!</v>
      </c>
      <c r="D14" s="27" t="e">
        <f>$G$2*((VLOOKUP(PA!$B14,CIMA_H!$A:$H,8,FALSE)-VLOOKUP(PA!$B14+2,CIMA_H!$A:$H,8,FALSE))/(VLOOKUP(PA!$B14,CIMA_H!$A:$H,5,FALSE)))/(1-Param!$E$8-Param!$E$9-Param!$E$10)</f>
        <v>#REF!</v>
      </c>
      <c r="E14" s="27" t="e">
        <f>$G$2*((VLOOKUP(PA!$B14,CIMA_H!$A:$H,8,FALSE)-VLOOKUP(PA!$B14+3,CIMA_H!$A:$H,8,FALSE))/(VLOOKUP(PA!$B14,CIMA_H!$A:$H,5,FALSE)))/(1-Param!$E$8-Param!$E$9-Param!$E$10)</f>
        <v>#REF!</v>
      </c>
      <c r="F14" s="27" t="e">
        <f>$G$2*((VLOOKUP(PA!$B14,CIMA_H!$A:$H,8,FALSE)-VLOOKUP(PA!$B14+4,CIMA_H!$A:$H,8,FALSE))/(VLOOKUP(PA!$B14,CIMA_H!$A:$H,5,FALSE)))/(1-Param!$E$8-Param!$E$9-Param!$E$10)</f>
        <v>#REF!</v>
      </c>
      <c r="G14" s="27" t="e">
        <f>$G$2*((VLOOKUP(PA!$B14,CIMA_H!$A:$H,8,FALSE)-VLOOKUP(PA!$B14+5,CIMA_H!$A:$H,8,FALSE))/(VLOOKUP(PA!$B14,CIMA_H!$A:$H,5,FALSE)))/(1-Param!$E$8-Param!$E$9-Param!$E$10)</f>
        <v>#REF!</v>
      </c>
      <c r="H14" s="21"/>
    </row>
    <row r="15" spans="2:9" x14ac:dyDescent="0.3">
      <c r="B15" s="24">
        <v>29</v>
      </c>
      <c r="C15" s="27" t="e">
        <f>$G$2*((VLOOKUP(PA!$B15,CIMA_H!$A:$H,8,FALSE)-VLOOKUP(PA!$B15+1,CIMA_H!$A:$H,8,FALSE))/(VLOOKUP(PA!$B15,CIMA_H!$A:$H,5,FALSE)))/(1-Param!$E$8-Param!$E$9-Param!$E$10)</f>
        <v>#REF!</v>
      </c>
      <c r="D15" s="27" t="e">
        <f>$G$2*((VLOOKUP(PA!$B15,CIMA_H!$A:$H,8,FALSE)-VLOOKUP(PA!$B15+2,CIMA_H!$A:$H,8,FALSE))/(VLOOKUP(PA!$B15,CIMA_H!$A:$H,5,FALSE)))/(1-Param!$E$8-Param!$E$9-Param!$E$10)</f>
        <v>#REF!</v>
      </c>
      <c r="E15" s="27" t="e">
        <f>$G$2*((VLOOKUP(PA!$B15,CIMA_H!$A:$H,8,FALSE)-VLOOKUP(PA!$B15+3,CIMA_H!$A:$H,8,FALSE))/(VLOOKUP(PA!$B15,CIMA_H!$A:$H,5,FALSE)))/(1-Param!$E$8-Param!$E$9-Param!$E$10)</f>
        <v>#REF!</v>
      </c>
      <c r="F15" s="27" t="e">
        <f>$G$2*((VLOOKUP(PA!$B15,CIMA_H!$A:$H,8,FALSE)-VLOOKUP(PA!$B15+4,CIMA_H!$A:$H,8,FALSE))/(VLOOKUP(PA!$B15,CIMA_H!$A:$H,5,FALSE)))/(1-Param!$E$8-Param!$E$9-Param!$E$10)</f>
        <v>#REF!</v>
      </c>
      <c r="G15" s="27" t="e">
        <f>$G$2*((VLOOKUP(PA!$B15,CIMA_H!$A:$H,8,FALSE)-VLOOKUP(PA!$B15+5,CIMA_H!$A:$H,8,FALSE))/(VLOOKUP(PA!$B15,CIMA_H!$A:$H,5,FALSE)))/(1-Param!$E$8-Param!$E$9-Param!$E$10)</f>
        <v>#REF!</v>
      </c>
      <c r="H15" s="21"/>
    </row>
    <row r="16" spans="2:9" x14ac:dyDescent="0.3">
      <c r="B16" s="24">
        <v>30</v>
      </c>
      <c r="C16" s="27" t="e">
        <f>$G$2*((VLOOKUP(PA!$B16,CIMA_H!$A:$H,8,FALSE)-VLOOKUP(PA!$B16+1,CIMA_H!$A:$H,8,FALSE))/(VLOOKUP(PA!$B16,CIMA_H!$A:$H,5,FALSE)))/(1-Param!$E$8-Param!$E$9-Param!$E$10)</f>
        <v>#REF!</v>
      </c>
      <c r="D16" s="27" t="e">
        <f>$G$2*((VLOOKUP(PA!$B16,CIMA_H!$A:$H,8,FALSE)-VLOOKUP(PA!$B16+2,CIMA_H!$A:$H,8,FALSE))/(VLOOKUP(PA!$B16,CIMA_H!$A:$H,5,FALSE)))/(1-Param!$E$8-Param!$E$9-Param!$E$10)</f>
        <v>#REF!</v>
      </c>
      <c r="E16" s="27" t="e">
        <f>$G$2*((VLOOKUP(PA!$B16,CIMA_H!$A:$H,8,FALSE)-VLOOKUP(PA!$B16+3,CIMA_H!$A:$H,8,FALSE))/(VLOOKUP(PA!$B16,CIMA_H!$A:$H,5,FALSE)))/(1-Param!$E$8-Param!$E$9-Param!$E$10)</f>
        <v>#REF!</v>
      </c>
      <c r="F16" s="27" t="e">
        <f>$G$2*((VLOOKUP(PA!$B16,CIMA_H!$A:$H,8,FALSE)-VLOOKUP(PA!$B16+4,CIMA_H!$A:$H,8,FALSE))/(VLOOKUP(PA!$B16,CIMA_H!$A:$H,5,FALSE)))/(1-Param!$E$8-Param!$E$9-Param!$E$10)</f>
        <v>#REF!</v>
      </c>
      <c r="G16" s="27" t="e">
        <f>$G$2*((VLOOKUP(PA!$B16,CIMA_H!$A:$H,8,FALSE)-VLOOKUP(PA!$B16+5,CIMA_H!$A:$H,8,FALSE))/(VLOOKUP(PA!$B16,CIMA_H!$A:$H,5,FALSE)))/(1-Param!$E$8-Param!$E$9-Param!$E$10)</f>
        <v>#REF!</v>
      </c>
      <c r="H16" s="21"/>
      <c r="I16" s="29"/>
    </row>
    <row r="17" spans="2:8" x14ac:dyDescent="0.3">
      <c r="B17" s="24">
        <v>31</v>
      </c>
      <c r="C17" s="27" t="e">
        <f>$G$2*((VLOOKUP(PA!$B17,CIMA_H!$A:$H,8,FALSE)-VLOOKUP(PA!$B17+1,CIMA_H!$A:$H,8,FALSE))/(VLOOKUP(PA!$B17,CIMA_H!$A:$H,5,FALSE)))/(1-Param!$E$8-Param!$E$9-Param!$E$10)</f>
        <v>#REF!</v>
      </c>
      <c r="D17" s="27" t="e">
        <f>$G$2*((VLOOKUP(PA!$B17,CIMA_H!$A:$H,8,FALSE)-VLOOKUP(PA!$B17+2,CIMA_H!$A:$H,8,FALSE))/(VLOOKUP(PA!$B17,CIMA_H!$A:$H,5,FALSE)))/(1-Param!$E$8-Param!$E$9-Param!$E$10)</f>
        <v>#REF!</v>
      </c>
      <c r="E17" s="27" t="e">
        <f>$G$2*((VLOOKUP(PA!$B17,CIMA_H!$A:$H,8,FALSE)-VLOOKUP(PA!$B17+3,CIMA_H!$A:$H,8,FALSE))/(VLOOKUP(PA!$B17,CIMA_H!$A:$H,5,FALSE)))/(1-Param!$E$8-Param!$E$9-Param!$E$10)</f>
        <v>#REF!</v>
      </c>
      <c r="F17" s="27" t="e">
        <f>$G$2*((VLOOKUP(PA!$B17,CIMA_H!$A:$H,8,FALSE)-VLOOKUP(PA!$B17+4,CIMA_H!$A:$H,8,FALSE))/(VLOOKUP(PA!$B17,CIMA_H!$A:$H,5,FALSE)))/(1-Param!$E$8-Param!$E$9-Param!$E$10)</f>
        <v>#REF!</v>
      </c>
      <c r="G17" s="27" t="e">
        <f>$G$2*((VLOOKUP(PA!$B17,CIMA_H!$A:$H,8,FALSE)-VLOOKUP(PA!$B17+5,CIMA_H!$A:$H,8,FALSE))/(VLOOKUP(PA!$B17,CIMA_H!$A:$H,5,FALSE)))/(1-Param!$E$8-Param!$E$9-Param!$E$10)</f>
        <v>#REF!</v>
      </c>
      <c r="H17" s="21"/>
    </row>
    <row r="18" spans="2:8" x14ac:dyDescent="0.3">
      <c r="B18" s="24">
        <v>32</v>
      </c>
      <c r="C18" s="27" t="e">
        <f>$G$2*((VLOOKUP(PA!$B18,CIMA_H!$A:$H,8,FALSE)-VLOOKUP(PA!$B18+1,CIMA_H!$A:$H,8,FALSE))/(VLOOKUP(PA!$B18,CIMA_H!$A:$H,5,FALSE)))/(1-Param!$E$8-Param!$E$9-Param!$E$10)</f>
        <v>#REF!</v>
      </c>
      <c r="D18" s="27" t="e">
        <f>$G$2*((VLOOKUP(PA!$B18,CIMA_H!$A:$H,8,FALSE)-VLOOKUP(PA!$B18+2,CIMA_H!$A:$H,8,FALSE))/(VLOOKUP(PA!$B18,CIMA_H!$A:$H,5,FALSE)))/(1-Param!$E$8-Param!$E$9-Param!$E$10)</f>
        <v>#REF!</v>
      </c>
      <c r="E18" s="27" t="e">
        <f>$G$2*((VLOOKUP(PA!$B18,CIMA_H!$A:$H,8,FALSE)-VLOOKUP(PA!$B18+3,CIMA_H!$A:$H,8,FALSE))/(VLOOKUP(PA!$B18,CIMA_H!$A:$H,5,FALSE)))/(1-Param!$E$8-Param!$E$9-Param!$E$10)</f>
        <v>#REF!</v>
      </c>
      <c r="F18" s="27" t="e">
        <f>$G$2*((VLOOKUP(PA!$B18,CIMA_H!$A:$H,8,FALSE)-VLOOKUP(PA!$B18+4,CIMA_H!$A:$H,8,FALSE))/(VLOOKUP(PA!$B18,CIMA_H!$A:$H,5,FALSE)))/(1-Param!$E$8-Param!$E$9-Param!$E$10)</f>
        <v>#REF!</v>
      </c>
      <c r="G18" s="27" t="e">
        <f>$G$2*((VLOOKUP(PA!$B18,CIMA_H!$A:$H,8,FALSE)-VLOOKUP(PA!$B18+5,CIMA_H!$A:$H,8,FALSE))/(VLOOKUP(PA!$B18,CIMA_H!$A:$H,5,FALSE)))/(1-Param!$E$8-Param!$E$9-Param!$E$10)</f>
        <v>#REF!</v>
      </c>
      <c r="H18" s="21"/>
    </row>
    <row r="19" spans="2:8" x14ac:dyDescent="0.3">
      <c r="B19" s="24">
        <v>33</v>
      </c>
      <c r="C19" s="27" t="e">
        <f>$G$2*((VLOOKUP(PA!$B19,CIMA_H!$A:$H,8,FALSE)-VLOOKUP(PA!$B19+1,CIMA_H!$A:$H,8,FALSE))/(VLOOKUP(PA!$B19,CIMA_H!$A:$H,5,FALSE)))/(1-Param!$E$8-Param!$E$9-Param!$E$10)</f>
        <v>#REF!</v>
      </c>
      <c r="D19" s="27" t="e">
        <f>$G$2*((VLOOKUP(PA!$B19,CIMA_H!$A:$H,8,FALSE)-VLOOKUP(PA!$B19+2,CIMA_H!$A:$H,8,FALSE))/(VLOOKUP(PA!$B19,CIMA_H!$A:$H,5,FALSE)))/(1-Param!$E$8-Param!$E$9-Param!$E$10)</f>
        <v>#REF!</v>
      </c>
      <c r="E19" s="27" t="e">
        <f>$G$2*((VLOOKUP(PA!$B19,CIMA_H!$A:$H,8,FALSE)-VLOOKUP(PA!$B19+3,CIMA_H!$A:$H,8,FALSE))/(VLOOKUP(PA!$B19,CIMA_H!$A:$H,5,FALSE)))/(1-Param!$E$8-Param!$E$9-Param!$E$10)</f>
        <v>#REF!</v>
      </c>
      <c r="F19" s="27" t="e">
        <f>$G$2*((VLOOKUP(PA!$B19,CIMA_H!$A:$H,8,FALSE)-VLOOKUP(PA!$B19+4,CIMA_H!$A:$H,8,FALSE))/(VLOOKUP(PA!$B19,CIMA_H!$A:$H,5,FALSE)))/(1-Param!$E$8-Param!$E$9-Param!$E$10)</f>
        <v>#REF!</v>
      </c>
      <c r="G19" s="27" t="e">
        <f>$G$2*((VLOOKUP(PA!$B19,CIMA_H!$A:$H,8,FALSE)-VLOOKUP(PA!$B19+5,CIMA_H!$A:$H,8,FALSE))/(VLOOKUP(PA!$B19,CIMA_H!$A:$H,5,FALSE)))/(1-Param!$E$8-Param!$E$9-Param!$E$10)</f>
        <v>#REF!</v>
      </c>
      <c r="H19" s="21"/>
    </row>
    <row r="20" spans="2:8" x14ac:dyDescent="0.3">
      <c r="B20" s="24">
        <v>34</v>
      </c>
      <c r="C20" s="27" t="e">
        <f>$G$2*((VLOOKUP(PA!$B20,CIMA_H!$A:$H,8,FALSE)-VLOOKUP(PA!$B20+1,CIMA_H!$A:$H,8,FALSE))/(VLOOKUP(PA!$B20,CIMA_H!$A:$H,5,FALSE)))/(1-Param!$E$8-Param!$E$9-Param!$E$10)</f>
        <v>#REF!</v>
      </c>
      <c r="D20" s="27" t="e">
        <f>$G$2*((VLOOKUP(PA!$B20,CIMA_H!$A:$H,8,FALSE)-VLOOKUP(PA!$B20+2,CIMA_H!$A:$H,8,FALSE))/(VLOOKUP(PA!$B20,CIMA_H!$A:$H,5,FALSE)))/(1-Param!$E$8-Param!$E$9-Param!$E$10)</f>
        <v>#REF!</v>
      </c>
      <c r="E20" s="27" t="e">
        <f>$G$2*((VLOOKUP(PA!$B20,CIMA_H!$A:$H,8,FALSE)-VLOOKUP(PA!$B20+3,CIMA_H!$A:$H,8,FALSE))/(VLOOKUP(PA!$B20,CIMA_H!$A:$H,5,FALSE)))/(1-Param!$E$8-Param!$E$9-Param!$E$10)</f>
        <v>#REF!</v>
      </c>
      <c r="F20" s="27" t="e">
        <f>$G$2*((VLOOKUP(PA!$B20,CIMA_H!$A:$H,8,FALSE)-VLOOKUP(PA!$B20+4,CIMA_H!$A:$H,8,FALSE))/(VLOOKUP(PA!$B20,CIMA_H!$A:$H,5,FALSE)))/(1-Param!$E$8-Param!$E$9-Param!$E$10)</f>
        <v>#REF!</v>
      </c>
      <c r="G20" s="27" t="e">
        <f>$G$2*((VLOOKUP(PA!$B20,CIMA_H!$A:$H,8,FALSE)-VLOOKUP(PA!$B20+5,CIMA_H!$A:$H,8,FALSE))/(VLOOKUP(PA!$B20,CIMA_H!$A:$H,5,FALSE)))/(1-Param!$E$8-Param!$E$9-Param!$E$10)</f>
        <v>#REF!</v>
      </c>
      <c r="H20" s="21"/>
    </row>
    <row r="21" spans="2:8" x14ac:dyDescent="0.3">
      <c r="B21" s="24">
        <v>35</v>
      </c>
      <c r="C21" s="27" t="e">
        <f>$G$2*((VLOOKUP(PA!$B21,CIMA_H!$A:$H,8,FALSE)-VLOOKUP(PA!$B21+1,CIMA_H!$A:$H,8,FALSE))/(VLOOKUP(PA!$B21,CIMA_H!$A:$H,5,FALSE)))/(1-Param!$E$8-Param!$E$9-Param!$E$10)</f>
        <v>#REF!</v>
      </c>
      <c r="D21" s="27" t="e">
        <f>$G$2*((VLOOKUP(PA!$B21,CIMA_H!$A:$H,8,FALSE)-VLOOKUP(PA!$B21+2,CIMA_H!$A:$H,8,FALSE))/(VLOOKUP(PA!$B21,CIMA_H!$A:$H,5,FALSE)))/(1-Param!$E$8-Param!$E$9-Param!$E$10)</f>
        <v>#REF!</v>
      </c>
      <c r="E21" s="27" t="e">
        <f>$G$2*((VLOOKUP(PA!$B21,CIMA_H!$A:$H,8,FALSE)-VLOOKUP(PA!$B21+3,CIMA_H!$A:$H,8,FALSE))/(VLOOKUP(PA!$B21,CIMA_H!$A:$H,5,FALSE)))/(1-Param!$E$8-Param!$E$9-Param!$E$10)</f>
        <v>#REF!</v>
      </c>
      <c r="F21" s="27" t="e">
        <f>$G$2*((VLOOKUP(PA!$B21,CIMA_H!$A:$H,8,FALSE)-VLOOKUP(PA!$B21+4,CIMA_H!$A:$H,8,FALSE))/(VLOOKUP(PA!$B21,CIMA_H!$A:$H,5,FALSE)))/(1-Param!$E$8-Param!$E$9-Param!$E$10)</f>
        <v>#REF!</v>
      </c>
      <c r="G21" s="27" t="e">
        <f>$G$2*((VLOOKUP(PA!$B21,CIMA_H!$A:$H,8,FALSE)-VLOOKUP(PA!$B21+5,CIMA_H!$A:$H,8,FALSE))/(VLOOKUP(PA!$B21,CIMA_H!$A:$H,5,FALSE)))/(1-Param!$E$8-Param!$E$9-Param!$E$10)</f>
        <v>#REF!</v>
      </c>
      <c r="H21" s="21"/>
    </row>
    <row r="22" spans="2:8" x14ac:dyDescent="0.3">
      <c r="B22" s="24">
        <v>36</v>
      </c>
      <c r="C22" s="27" t="e">
        <f>$G$2*((VLOOKUP(PA!$B22,CIMA_H!$A:$H,8,FALSE)-VLOOKUP(PA!$B22+1,CIMA_H!$A:$H,8,FALSE))/(VLOOKUP(PA!$B22,CIMA_H!$A:$H,5,FALSE)))/(1-Param!$E$8-Param!$E$9-Param!$E$10)</f>
        <v>#REF!</v>
      </c>
      <c r="D22" s="27" t="e">
        <f>$G$2*((VLOOKUP(PA!$B22,CIMA_H!$A:$H,8,FALSE)-VLOOKUP(PA!$B22+2,CIMA_H!$A:$H,8,FALSE))/(VLOOKUP(PA!$B22,CIMA_H!$A:$H,5,FALSE)))/(1-Param!$E$8-Param!$E$9-Param!$E$10)</f>
        <v>#REF!</v>
      </c>
      <c r="E22" s="27" t="e">
        <f>$G$2*((VLOOKUP(PA!$B22,CIMA_H!$A:$H,8,FALSE)-VLOOKUP(PA!$B22+3,CIMA_H!$A:$H,8,FALSE))/(VLOOKUP(PA!$B22,CIMA_H!$A:$H,5,FALSE)))/(1-Param!$E$8-Param!$E$9-Param!$E$10)</f>
        <v>#REF!</v>
      </c>
      <c r="F22" s="27" t="e">
        <f>$G$2*((VLOOKUP(PA!$B22,CIMA_H!$A:$H,8,FALSE)-VLOOKUP(PA!$B22+4,CIMA_H!$A:$H,8,FALSE))/(VLOOKUP(PA!$B22,CIMA_H!$A:$H,5,FALSE)))/(1-Param!$E$8-Param!$E$9-Param!$E$10)</f>
        <v>#REF!</v>
      </c>
      <c r="G22" s="27" t="e">
        <f>$G$2*((VLOOKUP(PA!$B22,CIMA_H!$A:$H,8,FALSE)-VLOOKUP(PA!$B22+5,CIMA_H!$A:$H,8,FALSE))/(VLOOKUP(PA!$B22,CIMA_H!$A:$H,5,FALSE)))/(1-Param!$E$8-Param!$E$9-Param!$E$10)</f>
        <v>#REF!</v>
      </c>
      <c r="H22" s="21"/>
    </row>
    <row r="23" spans="2:8" x14ac:dyDescent="0.3">
      <c r="B23" s="24">
        <v>37</v>
      </c>
      <c r="C23" s="27" t="e">
        <f>$G$2*((VLOOKUP(PA!$B23,CIMA_H!$A:$H,8,FALSE)-VLOOKUP(PA!$B23+1,CIMA_H!$A:$H,8,FALSE))/(VLOOKUP(PA!$B23,CIMA_H!$A:$H,5,FALSE)))/(1-Param!$E$8-Param!$E$9-Param!$E$10)</f>
        <v>#REF!</v>
      </c>
      <c r="D23" s="27" t="e">
        <f>$G$2*((VLOOKUP(PA!$B23,CIMA_H!$A:$H,8,FALSE)-VLOOKUP(PA!$B23+2,CIMA_H!$A:$H,8,FALSE))/(VLOOKUP(PA!$B23,CIMA_H!$A:$H,5,FALSE)))/(1-Param!$E$8-Param!$E$9-Param!$E$10)</f>
        <v>#REF!</v>
      </c>
      <c r="E23" s="27" t="e">
        <f>$G$2*((VLOOKUP(PA!$B23,CIMA_H!$A:$H,8,FALSE)-VLOOKUP(PA!$B23+3,CIMA_H!$A:$H,8,FALSE))/(VLOOKUP(PA!$B23,CIMA_H!$A:$H,5,FALSE)))/(1-Param!$E$8-Param!$E$9-Param!$E$10)</f>
        <v>#REF!</v>
      </c>
      <c r="F23" s="27" t="e">
        <f>$G$2*((VLOOKUP(PA!$B23,CIMA_H!$A:$H,8,FALSE)-VLOOKUP(PA!$B23+4,CIMA_H!$A:$H,8,FALSE))/(VLOOKUP(PA!$B23,CIMA_H!$A:$H,5,FALSE)))/(1-Param!$E$8-Param!$E$9-Param!$E$10)</f>
        <v>#REF!</v>
      </c>
      <c r="G23" s="27" t="e">
        <f>$G$2*((VLOOKUP(PA!$B23,CIMA_H!$A:$H,8,FALSE)-VLOOKUP(PA!$B23+5,CIMA_H!$A:$H,8,FALSE))/(VLOOKUP(PA!$B23,CIMA_H!$A:$H,5,FALSE)))/(1-Param!$E$8-Param!$E$9-Param!$E$10)</f>
        <v>#REF!</v>
      </c>
      <c r="H23" s="21"/>
    </row>
    <row r="24" spans="2:8" x14ac:dyDescent="0.3">
      <c r="B24" s="24">
        <v>38</v>
      </c>
      <c r="C24" s="27" t="e">
        <f>$G$2*((VLOOKUP(PA!$B24,CIMA_H!$A:$H,8,FALSE)-VLOOKUP(PA!$B24+1,CIMA_H!$A:$H,8,FALSE))/(VLOOKUP(PA!$B24,CIMA_H!$A:$H,5,FALSE)))/(1-Param!$E$8-Param!$E$9-Param!$E$10)</f>
        <v>#REF!</v>
      </c>
      <c r="D24" s="27" t="e">
        <f>$G$2*((VLOOKUP(PA!$B24,CIMA_H!$A:$H,8,FALSE)-VLOOKUP(PA!$B24+2,CIMA_H!$A:$H,8,FALSE))/(VLOOKUP(PA!$B24,CIMA_H!$A:$H,5,FALSE)))/(1-Param!$E$8-Param!$E$9-Param!$E$10)</f>
        <v>#REF!</v>
      </c>
      <c r="E24" s="27" t="e">
        <f>$G$2*((VLOOKUP(PA!$B24,CIMA_H!$A:$H,8,FALSE)-VLOOKUP(PA!$B24+3,CIMA_H!$A:$H,8,FALSE))/(VLOOKUP(PA!$B24,CIMA_H!$A:$H,5,FALSE)))/(1-Param!$E$8-Param!$E$9-Param!$E$10)</f>
        <v>#REF!</v>
      </c>
      <c r="F24" s="27" t="e">
        <f>$G$2*((VLOOKUP(PA!$B24,CIMA_H!$A:$H,8,FALSE)-VLOOKUP(PA!$B24+4,CIMA_H!$A:$H,8,FALSE))/(VLOOKUP(PA!$B24,CIMA_H!$A:$H,5,FALSE)))/(1-Param!$E$8-Param!$E$9-Param!$E$10)</f>
        <v>#REF!</v>
      </c>
      <c r="G24" s="27" t="e">
        <f>$G$2*((VLOOKUP(PA!$B24,CIMA_H!$A:$H,8,FALSE)-VLOOKUP(PA!$B24+5,CIMA_H!$A:$H,8,FALSE))/(VLOOKUP(PA!$B24,CIMA_H!$A:$H,5,FALSE)))/(1-Param!$E$8-Param!$E$9-Param!$E$10)</f>
        <v>#REF!</v>
      </c>
      <c r="H24" s="21"/>
    </row>
    <row r="25" spans="2:8" x14ac:dyDescent="0.3">
      <c r="B25" s="24">
        <v>39</v>
      </c>
      <c r="C25" s="27" t="e">
        <f>$G$2*((VLOOKUP(PA!$B25,CIMA_H!$A:$H,8,FALSE)-VLOOKUP(PA!$B25+1,CIMA_H!$A:$H,8,FALSE))/(VLOOKUP(PA!$B25,CIMA_H!$A:$H,5,FALSE)))/(1-Param!$E$8-Param!$E$9-Param!$E$10)</f>
        <v>#REF!</v>
      </c>
      <c r="D25" s="27" t="e">
        <f>$G$2*((VLOOKUP(PA!$B25,CIMA_H!$A:$H,8,FALSE)-VLOOKUP(PA!$B25+2,CIMA_H!$A:$H,8,FALSE))/(VLOOKUP(PA!$B25,CIMA_H!$A:$H,5,FALSE)))/(1-Param!$E$8-Param!$E$9-Param!$E$10)</f>
        <v>#REF!</v>
      </c>
      <c r="E25" s="27" t="e">
        <f>$G$2*((VLOOKUP(PA!$B25,CIMA_H!$A:$H,8,FALSE)-VLOOKUP(PA!$B25+3,CIMA_H!$A:$H,8,FALSE))/(VLOOKUP(PA!$B25,CIMA_H!$A:$H,5,FALSE)))/(1-Param!$E$8-Param!$E$9-Param!$E$10)</f>
        <v>#REF!</v>
      </c>
      <c r="F25" s="27" t="e">
        <f>$G$2*((VLOOKUP(PA!$B25,CIMA_H!$A:$H,8,FALSE)-VLOOKUP(PA!$B25+4,CIMA_H!$A:$H,8,FALSE))/(VLOOKUP(PA!$B25,CIMA_H!$A:$H,5,FALSE)))/(1-Param!$E$8-Param!$E$9-Param!$E$10)</f>
        <v>#REF!</v>
      </c>
      <c r="G25" s="27" t="e">
        <f>$G$2*((VLOOKUP(PA!$B25,CIMA_H!$A:$H,8,FALSE)-VLOOKUP(PA!$B25+5,CIMA_H!$A:$H,8,FALSE))/(VLOOKUP(PA!$B25,CIMA_H!$A:$H,5,FALSE)))/(1-Param!$E$8-Param!$E$9-Param!$E$10)</f>
        <v>#REF!</v>
      </c>
      <c r="H25" s="21"/>
    </row>
    <row r="26" spans="2:8" x14ac:dyDescent="0.3">
      <c r="B26" s="24">
        <v>40</v>
      </c>
      <c r="C26" s="27" t="e">
        <f>$G$2*((VLOOKUP(PA!$B26,CIMA_H!$A:$H,8,FALSE)-VLOOKUP(PA!$B26+1,CIMA_H!$A:$H,8,FALSE))/(VLOOKUP(PA!$B26,CIMA_H!$A:$H,5,FALSE)))/(1-Param!$E$8-Param!$E$9-Param!$E$10)</f>
        <v>#REF!</v>
      </c>
      <c r="D26" s="27" t="e">
        <f>$G$2*((VLOOKUP(PA!$B26,CIMA_H!$A:$H,8,FALSE)-VLOOKUP(PA!$B26+2,CIMA_H!$A:$H,8,FALSE))/(VLOOKUP(PA!$B26,CIMA_H!$A:$H,5,FALSE)))/(1-Param!$E$8-Param!$E$9-Param!$E$10)</f>
        <v>#REF!</v>
      </c>
      <c r="E26" s="27" t="e">
        <f>$G$2*((VLOOKUP(PA!$B26,CIMA_H!$A:$H,8,FALSE)-VLOOKUP(PA!$B26+3,CIMA_H!$A:$H,8,FALSE))/(VLOOKUP(PA!$B26,CIMA_H!$A:$H,5,FALSE)))/(1-Param!$E$8-Param!$E$9-Param!$E$10)</f>
        <v>#REF!</v>
      </c>
      <c r="F26" s="27" t="e">
        <f>$G$2*((VLOOKUP(PA!$B26,CIMA_H!$A:$H,8,FALSE)-VLOOKUP(PA!$B26+4,CIMA_H!$A:$H,8,FALSE))/(VLOOKUP(PA!$B26,CIMA_H!$A:$H,5,FALSE)))/(1-Param!$E$8-Param!$E$9-Param!$E$10)</f>
        <v>#REF!</v>
      </c>
      <c r="G26" s="27" t="e">
        <f>$G$2*((VLOOKUP(PA!$B26,CIMA_H!$A:$H,8,FALSE)-VLOOKUP(PA!$B26+5,CIMA_H!$A:$H,8,FALSE))/(VLOOKUP(PA!$B26,CIMA_H!$A:$H,5,FALSE)))/(1-Param!$E$8-Param!$E$9-Param!$E$10)</f>
        <v>#REF!</v>
      </c>
      <c r="H26" s="21"/>
    </row>
    <row r="27" spans="2:8" x14ac:dyDescent="0.3">
      <c r="B27" s="24">
        <v>41</v>
      </c>
      <c r="C27" s="27" t="e">
        <f>$G$2*((VLOOKUP(PA!$B27,CIMA_H!$A:$H,8,FALSE)-VLOOKUP(PA!$B27+1,CIMA_H!$A:$H,8,FALSE))/(VLOOKUP(PA!$B27,CIMA_H!$A:$H,5,FALSE)))/(1-Param!$E$8-Param!$E$9-Param!$E$10)</f>
        <v>#REF!</v>
      </c>
      <c r="D27" s="27" t="e">
        <f>$G$2*((VLOOKUP(PA!$B27,CIMA_H!$A:$H,8,FALSE)-VLOOKUP(PA!$B27+2,CIMA_H!$A:$H,8,FALSE))/(VLOOKUP(PA!$B27,CIMA_H!$A:$H,5,FALSE)))/(1-Param!$E$8-Param!$E$9-Param!$E$10)</f>
        <v>#REF!</v>
      </c>
      <c r="E27" s="27" t="e">
        <f>$G$2*((VLOOKUP(PA!$B27,CIMA_H!$A:$H,8,FALSE)-VLOOKUP(PA!$B27+3,CIMA_H!$A:$H,8,FALSE))/(VLOOKUP(PA!$B27,CIMA_H!$A:$H,5,FALSE)))/(1-Param!$E$8-Param!$E$9-Param!$E$10)</f>
        <v>#REF!</v>
      </c>
      <c r="F27" s="27" t="e">
        <f>$G$2*((VLOOKUP(PA!$B27,CIMA_H!$A:$H,8,FALSE)-VLOOKUP(PA!$B27+4,CIMA_H!$A:$H,8,FALSE))/(VLOOKUP(PA!$B27,CIMA_H!$A:$H,5,FALSE)))/(1-Param!$E$8-Param!$E$9-Param!$E$10)</f>
        <v>#REF!</v>
      </c>
      <c r="G27" s="27" t="e">
        <f>$G$2*((VLOOKUP(PA!$B27,CIMA_H!$A:$H,8,FALSE)-VLOOKUP(PA!$B27+5,CIMA_H!$A:$H,8,FALSE))/(VLOOKUP(PA!$B27,CIMA_H!$A:$H,5,FALSE)))/(1-Param!$E$8-Param!$E$9-Param!$E$10)</f>
        <v>#REF!</v>
      </c>
      <c r="H27" s="21"/>
    </row>
    <row r="28" spans="2:8" x14ac:dyDescent="0.3">
      <c r="B28" s="24">
        <v>42</v>
      </c>
      <c r="C28" s="27" t="e">
        <f>$G$2*((VLOOKUP(PA!$B28,CIMA_H!$A:$H,8,FALSE)-VLOOKUP(PA!$B28+1,CIMA_H!$A:$H,8,FALSE))/(VLOOKUP(PA!$B28,CIMA_H!$A:$H,5,FALSE)))/(1-Param!$E$8-Param!$E$9-Param!$E$10)</f>
        <v>#REF!</v>
      </c>
      <c r="D28" s="27" t="e">
        <f>$G$2*((VLOOKUP(PA!$B28,CIMA_H!$A:$H,8,FALSE)-VLOOKUP(PA!$B28+2,CIMA_H!$A:$H,8,FALSE))/(VLOOKUP(PA!$B28,CIMA_H!$A:$H,5,FALSE)))/(1-Param!$E$8-Param!$E$9-Param!$E$10)</f>
        <v>#REF!</v>
      </c>
      <c r="E28" s="27" t="e">
        <f>$G$2*((VLOOKUP(PA!$B28,CIMA_H!$A:$H,8,FALSE)-VLOOKUP(PA!$B28+3,CIMA_H!$A:$H,8,FALSE))/(VLOOKUP(PA!$B28,CIMA_H!$A:$H,5,FALSE)))/(1-Param!$E$8-Param!$E$9-Param!$E$10)</f>
        <v>#REF!</v>
      </c>
      <c r="F28" s="27" t="e">
        <f>$G$2*((VLOOKUP(PA!$B28,CIMA_H!$A:$H,8,FALSE)-VLOOKUP(PA!$B28+4,CIMA_H!$A:$H,8,FALSE))/(VLOOKUP(PA!$B28,CIMA_H!$A:$H,5,FALSE)))/(1-Param!$E$8-Param!$E$9-Param!$E$10)</f>
        <v>#REF!</v>
      </c>
      <c r="G28" s="27" t="e">
        <f>$G$2*((VLOOKUP(PA!$B28,CIMA_H!$A:$H,8,FALSE)-VLOOKUP(PA!$B28+5,CIMA_H!$A:$H,8,FALSE))/(VLOOKUP(PA!$B28,CIMA_H!$A:$H,5,FALSE)))/(1-Param!$E$8-Param!$E$9-Param!$E$10)</f>
        <v>#REF!</v>
      </c>
      <c r="H28" s="21"/>
    </row>
    <row r="29" spans="2:8" x14ac:dyDescent="0.3">
      <c r="B29" s="24">
        <v>43</v>
      </c>
      <c r="C29" s="27" t="e">
        <f>$G$2*((VLOOKUP(PA!$B29,CIMA_H!$A:$H,8,FALSE)-VLOOKUP(PA!$B29+1,CIMA_H!$A:$H,8,FALSE))/(VLOOKUP(PA!$B29,CIMA_H!$A:$H,5,FALSE)))/(1-Param!$E$8-Param!$E$9-Param!$E$10)</f>
        <v>#REF!</v>
      </c>
      <c r="D29" s="27" t="e">
        <f>$G$2*((VLOOKUP(PA!$B29,CIMA_H!$A:$H,8,FALSE)-VLOOKUP(PA!$B29+2,CIMA_H!$A:$H,8,FALSE))/(VLOOKUP(PA!$B29,CIMA_H!$A:$H,5,FALSE)))/(1-Param!$E$8-Param!$E$9-Param!$E$10)</f>
        <v>#REF!</v>
      </c>
      <c r="E29" s="27" t="e">
        <f>$G$2*((VLOOKUP(PA!$B29,CIMA_H!$A:$H,8,FALSE)-VLOOKUP(PA!$B29+3,CIMA_H!$A:$H,8,FALSE))/(VLOOKUP(PA!$B29,CIMA_H!$A:$H,5,FALSE)))/(1-Param!$E$8-Param!$E$9-Param!$E$10)</f>
        <v>#REF!</v>
      </c>
      <c r="F29" s="27" t="e">
        <f>$G$2*((VLOOKUP(PA!$B29,CIMA_H!$A:$H,8,FALSE)-VLOOKUP(PA!$B29+4,CIMA_H!$A:$H,8,FALSE))/(VLOOKUP(PA!$B29,CIMA_H!$A:$H,5,FALSE)))/(1-Param!$E$8-Param!$E$9-Param!$E$10)</f>
        <v>#REF!</v>
      </c>
      <c r="G29" s="27" t="e">
        <f>$G$2*((VLOOKUP(PA!$B29,CIMA_H!$A:$H,8,FALSE)-VLOOKUP(PA!$B29+5,CIMA_H!$A:$H,8,FALSE))/(VLOOKUP(PA!$B29,CIMA_H!$A:$H,5,FALSE)))/(1-Param!$E$8-Param!$E$9-Param!$E$10)</f>
        <v>#REF!</v>
      </c>
      <c r="H29" s="21"/>
    </row>
    <row r="30" spans="2:8" x14ac:dyDescent="0.3">
      <c r="B30" s="24">
        <v>44</v>
      </c>
      <c r="C30" s="27" t="e">
        <f>$G$2*((VLOOKUP(PA!$B30,CIMA_H!$A:$H,8,FALSE)-VLOOKUP(PA!$B30+1,CIMA_H!$A:$H,8,FALSE))/(VLOOKUP(PA!$B30,CIMA_H!$A:$H,5,FALSE)))/(1-Param!$E$8-Param!$E$9-Param!$E$10)</f>
        <v>#REF!</v>
      </c>
      <c r="D30" s="27" t="e">
        <f>$G$2*((VLOOKUP(PA!$B30,CIMA_H!$A:$H,8,FALSE)-VLOOKUP(PA!$B30+2,CIMA_H!$A:$H,8,FALSE))/(VLOOKUP(PA!$B30,CIMA_H!$A:$H,5,FALSE)))/(1-Param!$E$8-Param!$E$9-Param!$E$10)</f>
        <v>#REF!</v>
      </c>
      <c r="E30" s="27" t="e">
        <f>$G$2*((VLOOKUP(PA!$B30,CIMA_H!$A:$H,8,FALSE)-VLOOKUP(PA!$B30+3,CIMA_H!$A:$H,8,FALSE))/(VLOOKUP(PA!$B30,CIMA_H!$A:$H,5,FALSE)))/(1-Param!$E$8-Param!$E$9-Param!$E$10)</f>
        <v>#REF!</v>
      </c>
      <c r="F30" s="27" t="e">
        <f>$G$2*((VLOOKUP(PA!$B30,CIMA_H!$A:$H,8,FALSE)-VLOOKUP(PA!$B30+4,CIMA_H!$A:$H,8,FALSE))/(VLOOKUP(PA!$B30,CIMA_H!$A:$H,5,FALSE)))/(1-Param!$E$8-Param!$E$9-Param!$E$10)</f>
        <v>#REF!</v>
      </c>
      <c r="G30" s="27" t="e">
        <f>$G$2*((VLOOKUP(PA!$B30,CIMA_H!$A:$H,8,FALSE)-VLOOKUP(PA!$B30+5,CIMA_H!$A:$H,8,FALSE))/(VLOOKUP(PA!$B30,CIMA_H!$A:$H,5,FALSE)))/(1-Param!$E$8-Param!$E$9-Param!$E$10)</f>
        <v>#REF!</v>
      </c>
      <c r="H30" s="21"/>
    </row>
    <row r="31" spans="2:8" x14ac:dyDescent="0.3">
      <c r="B31" s="24">
        <v>45</v>
      </c>
      <c r="C31" s="27" t="e">
        <f>$G$2*((VLOOKUP(PA!$B31,CIMA_H!$A:$H,8,FALSE)-VLOOKUP(PA!$B31+1,CIMA_H!$A:$H,8,FALSE))/(VLOOKUP(PA!$B31,CIMA_H!$A:$H,5,FALSE)))/(1-Param!$E$8-Param!$E$9-Param!$E$10)</f>
        <v>#REF!</v>
      </c>
      <c r="D31" s="27" t="e">
        <f>$G$2*((VLOOKUP(PA!$B31,CIMA_H!$A:$H,8,FALSE)-VLOOKUP(PA!$B31+2,CIMA_H!$A:$H,8,FALSE))/(VLOOKUP(PA!$B31,CIMA_H!$A:$H,5,FALSE)))/(1-Param!$E$8-Param!$E$9-Param!$E$10)</f>
        <v>#REF!</v>
      </c>
      <c r="E31" s="27" t="e">
        <f>$G$2*((VLOOKUP(PA!$B31,CIMA_H!$A:$H,8,FALSE)-VLOOKUP(PA!$B31+3,CIMA_H!$A:$H,8,FALSE))/(VLOOKUP(PA!$B31,CIMA_H!$A:$H,5,FALSE)))/(1-Param!$E$8-Param!$E$9-Param!$E$10)</f>
        <v>#REF!</v>
      </c>
      <c r="F31" s="27" t="e">
        <f>$G$2*((VLOOKUP(PA!$B31,CIMA_H!$A:$H,8,FALSE)-VLOOKUP(PA!$B31+4,CIMA_H!$A:$H,8,FALSE))/(VLOOKUP(PA!$B31,CIMA_H!$A:$H,5,FALSE)))/(1-Param!$E$8-Param!$E$9-Param!$E$10)</f>
        <v>#REF!</v>
      </c>
      <c r="G31" s="27" t="e">
        <f>$G$2*((VLOOKUP(PA!$B31,CIMA_H!$A:$H,8,FALSE)-VLOOKUP(PA!$B31+5,CIMA_H!$A:$H,8,FALSE))/(VLOOKUP(PA!$B31,CIMA_H!$A:$H,5,FALSE)))/(1-Param!$E$8-Param!$E$9-Param!$E$10)</f>
        <v>#REF!</v>
      </c>
      <c r="H31" s="21"/>
    </row>
    <row r="32" spans="2:8" x14ac:dyDescent="0.3">
      <c r="B32" s="24">
        <v>46</v>
      </c>
      <c r="C32" s="27" t="e">
        <f>$G$2*((VLOOKUP(PA!$B32,CIMA_H!$A:$H,8,FALSE)-VLOOKUP(PA!$B32+1,CIMA_H!$A:$H,8,FALSE))/(VLOOKUP(PA!$B32,CIMA_H!$A:$H,5,FALSE)))/(1-Param!$E$8-Param!$E$9-Param!$E$10)</f>
        <v>#REF!</v>
      </c>
      <c r="D32" s="27" t="e">
        <f>$G$2*((VLOOKUP(PA!$B32,CIMA_H!$A:$H,8,FALSE)-VLOOKUP(PA!$B32+2,CIMA_H!$A:$H,8,FALSE))/(VLOOKUP(PA!$B32,CIMA_H!$A:$H,5,FALSE)))/(1-Param!$E$8-Param!$E$9-Param!$E$10)</f>
        <v>#REF!</v>
      </c>
      <c r="E32" s="27" t="e">
        <f>$G$2*((VLOOKUP(PA!$B32,CIMA_H!$A:$H,8,FALSE)-VLOOKUP(PA!$B32+3,CIMA_H!$A:$H,8,FALSE))/(VLOOKUP(PA!$B32,CIMA_H!$A:$H,5,FALSE)))/(1-Param!$E$8-Param!$E$9-Param!$E$10)</f>
        <v>#REF!</v>
      </c>
      <c r="F32" s="27" t="e">
        <f>$G$2*((VLOOKUP(PA!$B32,CIMA_H!$A:$H,8,FALSE)-VLOOKUP(PA!$B32+4,CIMA_H!$A:$H,8,FALSE))/(VLOOKUP(PA!$B32,CIMA_H!$A:$H,5,FALSE)))/(1-Param!$E$8-Param!$E$9-Param!$E$10)</f>
        <v>#REF!</v>
      </c>
      <c r="G32" s="27" t="e">
        <f>$G$2*((VLOOKUP(PA!$B32,CIMA_H!$A:$H,8,FALSE)-VLOOKUP(PA!$B32+5,CIMA_H!$A:$H,8,FALSE))/(VLOOKUP(PA!$B32,CIMA_H!$A:$H,5,FALSE)))/(1-Param!$E$8-Param!$E$9-Param!$E$10)</f>
        <v>#REF!</v>
      </c>
      <c r="H32" s="21"/>
    </row>
    <row r="33" spans="2:8" x14ac:dyDescent="0.3">
      <c r="B33" s="24">
        <v>47</v>
      </c>
      <c r="C33" s="27" t="e">
        <f>$G$2*((VLOOKUP(PA!$B33,CIMA_H!$A:$H,8,FALSE)-VLOOKUP(PA!$B33+1,CIMA_H!$A:$H,8,FALSE))/(VLOOKUP(PA!$B33,CIMA_H!$A:$H,5,FALSE)))/(1-Param!$E$8-Param!$E$9-Param!$E$10)</f>
        <v>#REF!</v>
      </c>
      <c r="D33" s="27" t="e">
        <f>$G$2*((VLOOKUP(PA!$B33,CIMA_H!$A:$H,8,FALSE)-VLOOKUP(PA!$B33+2,CIMA_H!$A:$H,8,FALSE))/(VLOOKUP(PA!$B33,CIMA_H!$A:$H,5,FALSE)))/(1-Param!$E$8-Param!$E$9-Param!$E$10)</f>
        <v>#REF!</v>
      </c>
      <c r="E33" s="27" t="e">
        <f>$G$2*((VLOOKUP(PA!$B33,CIMA_H!$A:$H,8,FALSE)-VLOOKUP(PA!$B33+3,CIMA_H!$A:$H,8,FALSE))/(VLOOKUP(PA!$B33,CIMA_H!$A:$H,5,FALSE)))/(1-Param!$E$8-Param!$E$9-Param!$E$10)</f>
        <v>#REF!</v>
      </c>
      <c r="F33" s="27" t="e">
        <f>$G$2*((VLOOKUP(PA!$B33,CIMA_H!$A:$H,8,FALSE)-VLOOKUP(PA!$B33+4,CIMA_H!$A:$H,8,FALSE))/(VLOOKUP(PA!$B33,CIMA_H!$A:$H,5,FALSE)))/(1-Param!$E$8-Param!$E$9-Param!$E$10)</f>
        <v>#REF!</v>
      </c>
      <c r="G33" s="27" t="e">
        <f>$G$2*((VLOOKUP(PA!$B33,CIMA_H!$A:$H,8,FALSE)-VLOOKUP(PA!$B33+5,CIMA_H!$A:$H,8,FALSE))/(VLOOKUP(PA!$B33,CIMA_H!$A:$H,5,FALSE)))/(1-Param!$E$8-Param!$E$9-Param!$E$10)</f>
        <v>#REF!</v>
      </c>
      <c r="H33" s="21"/>
    </row>
    <row r="34" spans="2:8" x14ac:dyDescent="0.3">
      <c r="B34" s="24">
        <v>48</v>
      </c>
      <c r="C34" s="27" t="e">
        <f>$G$2*((VLOOKUP(PA!$B34,CIMA_H!$A:$H,8,FALSE)-VLOOKUP(PA!$B34+1,CIMA_H!$A:$H,8,FALSE))/(VLOOKUP(PA!$B34,CIMA_H!$A:$H,5,FALSE)))/(1-Param!$E$8-Param!$E$9-Param!$E$10)</f>
        <v>#REF!</v>
      </c>
      <c r="D34" s="27" t="e">
        <f>$G$2*((VLOOKUP(PA!$B34,CIMA_H!$A:$H,8,FALSE)-VLOOKUP(PA!$B34+2,CIMA_H!$A:$H,8,FALSE))/(VLOOKUP(PA!$B34,CIMA_H!$A:$H,5,FALSE)))/(1-Param!$E$8-Param!$E$9-Param!$E$10)</f>
        <v>#REF!</v>
      </c>
      <c r="E34" s="27" t="e">
        <f>$G$2*((VLOOKUP(PA!$B34,CIMA_H!$A:$H,8,FALSE)-VLOOKUP(PA!$B34+3,CIMA_H!$A:$H,8,FALSE))/(VLOOKUP(PA!$B34,CIMA_H!$A:$H,5,FALSE)))/(1-Param!$E$8-Param!$E$9-Param!$E$10)</f>
        <v>#REF!</v>
      </c>
      <c r="F34" s="27" t="e">
        <f>$G$2*((VLOOKUP(PA!$B34,CIMA_H!$A:$H,8,FALSE)-VLOOKUP(PA!$B34+4,CIMA_H!$A:$H,8,FALSE))/(VLOOKUP(PA!$B34,CIMA_H!$A:$H,5,FALSE)))/(1-Param!$E$8-Param!$E$9-Param!$E$10)</f>
        <v>#REF!</v>
      </c>
      <c r="G34" s="27" t="e">
        <f>$G$2*((VLOOKUP(PA!$B34,CIMA_H!$A:$H,8,FALSE)-VLOOKUP(PA!$B34+5,CIMA_H!$A:$H,8,FALSE))/(VLOOKUP(PA!$B34,CIMA_H!$A:$H,5,FALSE)))/(1-Param!$E$8-Param!$E$9-Param!$E$10)</f>
        <v>#REF!</v>
      </c>
      <c r="H34" s="21"/>
    </row>
    <row r="35" spans="2:8" x14ac:dyDescent="0.3">
      <c r="B35" s="24">
        <v>49</v>
      </c>
      <c r="C35" s="27" t="e">
        <f>$G$2*((VLOOKUP(PA!$B35,CIMA_H!$A:$H,8,FALSE)-VLOOKUP(PA!$B35+1,CIMA_H!$A:$H,8,FALSE))/(VLOOKUP(PA!$B35,CIMA_H!$A:$H,5,FALSE)))/(1-Param!$E$8-Param!$E$9-Param!$E$10)</f>
        <v>#REF!</v>
      </c>
      <c r="D35" s="27" t="e">
        <f>$G$2*((VLOOKUP(PA!$B35,CIMA_H!$A:$H,8,FALSE)-VLOOKUP(PA!$B35+2,CIMA_H!$A:$H,8,FALSE))/(VLOOKUP(PA!$B35,CIMA_H!$A:$H,5,FALSE)))/(1-Param!$E$8-Param!$E$9-Param!$E$10)</f>
        <v>#REF!</v>
      </c>
      <c r="E35" s="27" t="e">
        <f>$G$2*((VLOOKUP(PA!$B35,CIMA_H!$A:$H,8,FALSE)-VLOOKUP(PA!$B35+3,CIMA_H!$A:$H,8,FALSE))/(VLOOKUP(PA!$B35,CIMA_H!$A:$H,5,FALSE)))/(1-Param!$E$8-Param!$E$9-Param!$E$10)</f>
        <v>#REF!</v>
      </c>
      <c r="F35" s="27" t="e">
        <f>$G$2*((VLOOKUP(PA!$B35,CIMA_H!$A:$H,8,FALSE)-VLOOKUP(PA!$B35+4,CIMA_H!$A:$H,8,FALSE))/(VLOOKUP(PA!$B35,CIMA_H!$A:$H,5,FALSE)))/(1-Param!$E$8-Param!$E$9-Param!$E$10)</f>
        <v>#REF!</v>
      </c>
      <c r="G35" s="27" t="e">
        <f>$G$2*((VLOOKUP(PA!$B35,CIMA_H!$A:$H,8,FALSE)-VLOOKUP(PA!$B35+5,CIMA_H!$A:$H,8,FALSE))/(VLOOKUP(PA!$B35,CIMA_H!$A:$H,5,FALSE)))/(1-Param!$E$8-Param!$E$9-Param!$E$10)</f>
        <v>#REF!</v>
      </c>
      <c r="H35" s="21"/>
    </row>
    <row r="36" spans="2:8" x14ac:dyDescent="0.3">
      <c r="B36" s="24">
        <v>50</v>
      </c>
      <c r="C36" s="27" t="e">
        <f>$G$2*((VLOOKUP(PA!$B36,CIMA_H!$A:$H,8,FALSE)-VLOOKUP(PA!$B36+1,CIMA_H!$A:$H,8,FALSE))/(VLOOKUP(PA!$B36,CIMA_H!$A:$H,5,FALSE)))/(1-Param!$E$8-Param!$E$9-Param!$E$10)</f>
        <v>#REF!</v>
      </c>
      <c r="D36" s="27" t="e">
        <f>$G$2*((VLOOKUP(PA!$B36,CIMA_H!$A:$H,8,FALSE)-VLOOKUP(PA!$B36+2,CIMA_H!$A:$H,8,FALSE))/(VLOOKUP(PA!$B36,CIMA_H!$A:$H,5,FALSE)))/(1-Param!$E$8-Param!$E$9-Param!$E$10)</f>
        <v>#REF!</v>
      </c>
      <c r="E36" s="27" t="e">
        <f>$G$2*((VLOOKUP(PA!$B36,CIMA_H!$A:$H,8,FALSE)-VLOOKUP(PA!$B36+3,CIMA_H!$A:$H,8,FALSE))/(VLOOKUP(PA!$B36,CIMA_H!$A:$H,5,FALSE)))/(1-Param!$E$8-Param!$E$9-Param!$E$10)</f>
        <v>#REF!</v>
      </c>
      <c r="F36" s="27" t="e">
        <f>$G$2*((VLOOKUP(PA!$B36,CIMA_H!$A:$H,8,FALSE)-VLOOKUP(PA!$B36+4,CIMA_H!$A:$H,8,FALSE))/(VLOOKUP(PA!$B36,CIMA_H!$A:$H,5,FALSE)))/(1-Param!$E$8-Param!$E$9-Param!$E$10)</f>
        <v>#REF!</v>
      </c>
      <c r="G36" s="27" t="e">
        <f>$G$2*((VLOOKUP(PA!$B36,CIMA_H!$A:$H,8,FALSE)-VLOOKUP(PA!$B36+5,CIMA_H!$A:$H,8,FALSE))/(VLOOKUP(PA!$B36,CIMA_H!$A:$H,5,FALSE)))/(1-Param!$E$8-Param!$E$9-Param!$E$10)</f>
        <v>#REF!</v>
      </c>
      <c r="H36" s="21"/>
    </row>
    <row r="37" spans="2:8" x14ac:dyDescent="0.3">
      <c r="B37" s="24">
        <v>51</v>
      </c>
      <c r="C37" s="27" t="e">
        <f>$G$2*((VLOOKUP(PA!$B37,CIMA_H!$A:$H,8,FALSE)-VLOOKUP(PA!$B37+1,CIMA_H!$A:$H,8,FALSE))/(VLOOKUP(PA!$B37,CIMA_H!$A:$H,5,FALSE)))/(1-Param!$E$8-Param!$E$9-Param!$E$10)</f>
        <v>#REF!</v>
      </c>
      <c r="D37" s="27" t="e">
        <f>$G$2*((VLOOKUP(PA!$B37,CIMA_H!$A:$H,8,FALSE)-VLOOKUP(PA!$B37+2,CIMA_H!$A:$H,8,FALSE))/(VLOOKUP(PA!$B37,CIMA_H!$A:$H,5,FALSE)))/(1-Param!$E$8-Param!$E$9-Param!$E$10)</f>
        <v>#REF!</v>
      </c>
      <c r="E37" s="27" t="e">
        <f>$G$2*((VLOOKUP(PA!$B37,CIMA_H!$A:$H,8,FALSE)-VLOOKUP(PA!$B37+3,CIMA_H!$A:$H,8,FALSE))/(VLOOKUP(PA!$B37,CIMA_H!$A:$H,5,FALSE)))/(1-Param!$E$8-Param!$E$9-Param!$E$10)</f>
        <v>#REF!</v>
      </c>
      <c r="F37" s="27" t="e">
        <f>$G$2*((VLOOKUP(PA!$B37,CIMA_H!$A:$H,8,FALSE)-VLOOKUP(PA!$B37+4,CIMA_H!$A:$H,8,FALSE))/(VLOOKUP(PA!$B37,CIMA_H!$A:$H,5,FALSE)))/(1-Param!$E$8-Param!$E$9-Param!$E$10)</f>
        <v>#REF!</v>
      </c>
      <c r="G37" s="27" t="e">
        <f>$G$2*((VLOOKUP(PA!$B37,CIMA_H!$A:$H,8,FALSE)-VLOOKUP(PA!$B37+5,CIMA_H!$A:$H,8,FALSE))/(VLOOKUP(PA!$B37,CIMA_H!$A:$H,5,FALSE)))/(1-Param!$E$8-Param!$E$9-Param!$E$10)</f>
        <v>#REF!</v>
      </c>
      <c r="H37" s="21"/>
    </row>
    <row r="38" spans="2:8" x14ac:dyDescent="0.3">
      <c r="B38" s="24">
        <v>52</v>
      </c>
      <c r="C38" s="27" t="e">
        <f>$G$2*((VLOOKUP(PA!$B38,CIMA_H!$A:$H,8,FALSE)-VLOOKUP(PA!$B38+1,CIMA_H!$A:$H,8,FALSE))/(VLOOKUP(PA!$B38,CIMA_H!$A:$H,5,FALSE)))/(1-Param!$E$8-Param!$E$9-Param!$E$10)</f>
        <v>#REF!</v>
      </c>
      <c r="D38" s="27" t="e">
        <f>$G$2*((VLOOKUP(PA!$B38,CIMA_H!$A:$H,8,FALSE)-VLOOKUP(PA!$B38+2,CIMA_H!$A:$H,8,FALSE))/(VLOOKUP(PA!$B38,CIMA_H!$A:$H,5,FALSE)))/(1-Param!$E$8-Param!$E$9-Param!$E$10)</f>
        <v>#REF!</v>
      </c>
      <c r="E38" s="27" t="e">
        <f>$G$2*((VLOOKUP(PA!$B38,CIMA_H!$A:$H,8,FALSE)-VLOOKUP(PA!$B38+3,CIMA_H!$A:$H,8,FALSE))/(VLOOKUP(PA!$B38,CIMA_H!$A:$H,5,FALSE)))/(1-Param!$E$8-Param!$E$9-Param!$E$10)</f>
        <v>#REF!</v>
      </c>
      <c r="F38" s="27" t="e">
        <f>$G$2*((VLOOKUP(PA!$B38,CIMA_H!$A:$H,8,FALSE)-VLOOKUP(PA!$B38+4,CIMA_H!$A:$H,8,FALSE))/(VLOOKUP(PA!$B38,CIMA_H!$A:$H,5,FALSE)))/(1-Param!$E$8-Param!$E$9-Param!$E$10)</f>
        <v>#REF!</v>
      </c>
      <c r="G38" s="27" t="e">
        <f>$G$2*((VLOOKUP(PA!$B38,CIMA_H!$A:$H,8,FALSE)-VLOOKUP(PA!$B38+5,CIMA_H!$A:$H,8,FALSE))/(VLOOKUP(PA!$B38,CIMA_H!$A:$H,5,FALSE)))/(1-Param!$E$8-Param!$E$9-Param!$E$10)</f>
        <v>#REF!</v>
      </c>
      <c r="H38" s="21"/>
    </row>
    <row r="39" spans="2:8" x14ac:dyDescent="0.3">
      <c r="B39" s="24">
        <v>53</v>
      </c>
      <c r="C39" s="27" t="e">
        <f>$G$2*((VLOOKUP(PA!$B39,CIMA_H!$A:$H,8,FALSE)-VLOOKUP(PA!$B39+1,CIMA_H!$A:$H,8,FALSE))/(VLOOKUP(PA!$B39,CIMA_H!$A:$H,5,FALSE)))/(1-Param!$E$8-Param!$E$9-Param!$E$10)</f>
        <v>#REF!</v>
      </c>
      <c r="D39" s="27" t="e">
        <f>$G$2*((VLOOKUP(PA!$B39,CIMA_H!$A:$H,8,FALSE)-VLOOKUP(PA!$B39+2,CIMA_H!$A:$H,8,FALSE))/(VLOOKUP(PA!$B39,CIMA_H!$A:$H,5,FALSE)))/(1-Param!$E$8-Param!$E$9-Param!$E$10)</f>
        <v>#REF!</v>
      </c>
      <c r="E39" s="27" t="e">
        <f>$G$2*((VLOOKUP(PA!$B39,CIMA_H!$A:$H,8,FALSE)-VLOOKUP(PA!$B39+3,CIMA_H!$A:$H,8,FALSE))/(VLOOKUP(PA!$B39,CIMA_H!$A:$H,5,FALSE)))/(1-Param!$E$8-Param!$E$9-Param!$E$10)</f>
        <v>#REF!</v>
      </c>
      <c r="F39" s="27" t="e">
        <f>$G$2*((VLOOKUP(PA!$B39,CIMA_H!$A:$H,8,FALSE)-VLOOKUP(PA!$B39+4,CIMA_H!$A:$H,8,FALSE))/(VLOOKUP(PA!$B39,CIMA_H!$A:$H,5,FALSE)))/(1-Param!$E$8-Param!$E$9-Param!$E$10)</f>
        <v>#REF!</v>
      </c>
      <c r="G39" s="27" t="e">
        <f>$G$2*((VLOOKUP(PA!$B39,CIMA_H!$A:$H,8,FALSE)-VLOOKUP(PA!$B39+5,CIMA_H!$A:$H,8,FALSE))/(VLOOKUP(PA!$B39,CIMA_H!$A:$H,5,FALSE)))/(1-Param!$E$8-Param!$E$9-Param!$E$10)</f>
        <v>#REF!</v>
      </c>
      <c r="H39" s="21"/>
    </row>
    <row r="40" spans="2:8" x14ac:dyDescent="0.3">
      <c r="B40" s="24">
        <v>54</v>
      </c>
      <c r="C40" s="27" t="e">
        <f>$G$2*((VLOOKUP(PA!$B40,CIMA_H!$A:$H,8,FALSE)-VLOOKUP(PA!$B40+1,CIMA_H!$A:$H,8,FALSE))/(VLOOKUP(PA!$B40,CIMA_H!$A:$H,5,FALSE)))/(1-Param!$E$8-Param!$E$9-Param!$E$10)</f>
        <v>#REF!</v>
      </c>
      <c r="D40" s="27" t="e">
        <f>$G$2*((VLOOKUP(PA!$B40,CIMA_H!$A:$H,8,FALSE)-VLOOKUP(PA!$B40+2,CIMA_H!$A:$H,8,FALSE))/(VLOOKUP(PA!$B40,CIMA_H!$A:$H,5,FALSE)))/(1-Param!$E$8-Param!$E$9-Param!$E$10)</f>
        <v>#REF!</v>
      </c>
      <c r="E40" s="27" t="e">
        <f>$G$2*((VLOOKUP(PA!$B40,CIMA_H!$A:$H,8,FALSE)-VLOOKUP(PA!$B40+3,CIMA_H!$A:$H,8,FALSE))/(VLOOKUP(PA!$B40,CIMA_H!$A:$H,5,FALSE)))/(1-Param!$E$8-Param!$E$9-Param!$E$10)</f>
        <v>#REF!</v>
      </c>
      <c r="F40" s="27" t="e">
        <f>$G$2*((VLOOKUP(PA!$B40,CIMA_H!$A:$H,8,FALSE)-VLOOKUP(PA!$B40+4,CIMA_H!$A:$H,8,FALSE))/(VLOOKUP(PA!$B40,CIMA_H!$A:$H,5,FALSE)))/(1-Param!$E$8-Param!$E$9-Param!$E$10)</f>
        <v>#REF!</v>
      </c>
      <c r="G40" s="27" t="e">
        <f>$G$2*((VLOOKUP(PA!$B40,CIMA_H!$A:$H,8,FALSE)-VLOOKUP(PA!$B40+5,CIMA_H!$A:$H,8,FALSE))/(VLOOKUP(PA!$B40,CIMA_H!$A:$H,5,FALSE)))/(1-Param!$E$8-Param!$E$9-Param!$E$10)</f>
        <v>#REF!</v>
      </c>
      <c r="H40" s="21"/>
    </row>
    <row r="41" spans="2:8" x14ac:dyDescent="0.3">
      <c r="B41" s="24">
        <v>55</v>
      </c>
      <c r="C41" s="27" t="e">
        <f>$G$2*((VLOOKUP(PA!$B41,CIMA_H!$A:$H,8,FALSE)-VLOOKUP(PA!$B41+1,CIMA_H!$A:$H,8,FALSE))/(VLOOKUP(PA!$B41,CIMA_H!$A:$H,5,FALSE)))/(1-Param!$E$8-Param!$E$9-Param!$E$10)</f>
        <v>#REF!</v>
      </c>
      <c r="D41" s="27" t="e">
        <f>$G$2*((VLOOKUP(PA!$B41,CIMA_H!$A:$H,8,FALSE)-VLOOKUP(PA!$B41+2,CIMA_H!$A:$H,8,FALSE))/(VLOOKUP(PA!$B41,CIMA_H!$A:$H,5,FALSE)))/(1-Param!$E$8-Param!$E$9-Param!$E$10)</f>
        <v>#REF!</v>
      </c>
      <c r="E41" s="27" t="e">
        <f>$G$2*((VLOOKUP(PA!$B41,CIMA_H!$A:$H,8,FALSE)-VLOOKUP(PA!$B41+3,CIMA_H!$A:$H,8,FALSE))/(VLOOKUP(PA!$B41,CIMA_H!$A:$H,5,FALSE)))/(1-Param!$E$8-Param!$E$9-Param!$E$10)</f>
        <v>#REF!</v>
      </c>
      <c r="F41" s="27" t="e">
        <f>$G$2*((VLOOKUP(PA!$B41,CIMA_H!$A:$H,8,FALSE)-VLOOKUP(PA!$B41+4,CIMA_H!$A:$H,8,FALSE))/(VLOOKUP(PA!$B41,CIMA_H!$A:$H,5,FALSE)))/(1-Param!$E$8-Param!$E$9-Param!$E$10)</f>
        <v>#REF!</v>
      </c>
      <c r="G41" s="27" t="e">
        <f>$G$2*((VLOOKUP(PA!$B41,CIMA_H!$A:$H,8,FALSE)-VLOOKUP(PA!$B41+5,CIMA_H!$A:$H,8,FALSE))/(VLOOKUP(PA!$B41,CIMA_H!$A:$H,5,FALSE)))/(1-Param!$E$8-Param!$E$9-Param!$E$10)</f>
        <v>#REF!</v>
      </c>
      <c r="H41" s="21"/>
    </row>
    <row r="42" spans="2:8" x14ac:dyDescent="0.3">
      <c r="B42" s="24">
        <v>56</v>
      </c>
      <c r="C42" s="27" t="e">
        <f>$G$2*((VLOOKUP(PA!$B42,CIMA_H!$A:$H,8,FALSE)-VLOOKUP(PA!$B42+1,CIMA_H!$A:$H,8,FALSE))/(VLOOKUP(PA!$B42,CIMA_H!$A:$H,5,FALSE)))/(1-Param!$E$8-Param!$E$9-Param!$E$10)</f>
        <v>#REF!</v>
      </c>
      <c r="D42" s="27" t="e">
        <f>$G$2*((VLOOKUP(PA!$B42,CIMA_H!$A:$H,8,FALSE)-VLOOKUP(PA!$B42+2,CIMA_H!$A:$H,8,FALSE))/(VLOOKUP(PA!$B42,CIMA_H!$A:$H,5,FALSE)))/(1-Param!$E$8-Param!$E$9-Param!$E$10)</f>
        <v>#REF!</v>
      </c>
      <c r="E42" s="27" t="e">
        <f>$G$2*((VLOOKUP(PA!$B42,CIMA_H!$A:$H,8,FALSE)-VLOOKUP(PA!$B42+3,CIMA_H!$A:$H,8,FALSE))/(VLOOKUP(PA!$B42,CIMA_H!$A:$H,5,FALSE)))/(1-Param!$E$8-Param!$E$9-Param!$E$10)</f>
        <v>#REF!</v>
      </c>
      <c r="F42" s="27" t="e">
        <f>$G$2*((VLOOKUP(PA!$B42,CIMA_H!$A:$H,8,FALSE)-VLOOKUP(PA!$B42+4,CIMA_H!$A:$H,8,FALSE))/(VLOOKUP(PA!$B42,CIMA_H!$A:$H,5,FALSE)))/(1-Param!$E$8-Param!$E$9-Param!$E$10)</f>
        <v>#REF!</v>
      </c>
      <c r="G42" s="27" t="e">
        <f>$G$2*((VLOOKUP(PA!$B42,CIMA_H!$A:$H,8,FALSE)-VLOOKUP(PA!$B42+5,CIMA_H!$A:$H,8,FALSE))/(VLOOKUP(PA!$B42,CIMA_H!$A:$H,5,FALSE)))/(1-Param!$E$8-Param!$E$9-Param!$E$10)</f>
        <v>#REF!</v>
      </c>
      <c r="H42" s="21"/>
    </row>
    <row r="43" spans="2:8" x14ac:dyDescent="0.3">
      <c r="B43" s="24">
        <v>57</v>
      </c>
      <c r="C43" s="27" t="e">
        <f>$G$2*((VLOOKUP(PA!$B43,CIMA_H!$A:$H,8,FALSE)-VLOOKUP(PA!$B43+1,CIMA_H!$A:$H,8,FALSE))/(VLOOKUP(PA!$B43,CIMA_H!$A:$H,5,FALSE)))/(1-Param!$E$8-Param!$E$9-Param!$E$10)</f>
        <v>#REF!</v>
      </c>
      <c r="D43" s="27" t="e">
        <f>$G$2*((VLOOKUP(PA!$B43,CIMA_H!$A:$H,8,FALSE)-VLOOKUP(PA!$B43+2,CIMA_H!$A:$H,8,FALSE))/(VLOOKUP(PA!$B43,CIMA_H!$A:$H,5,FALSE)))/(1-Param!$E$8-Param!$E$9-Param!$E$10)</f>
        <v>#REF!</v>
      </c>
      <c r="E43" s="27" t="e">
        <f>$G$2*((VLOOKUP(PA!$B43,CIMA_H!$A:$H,8,FALSE)-VLOOKUP(PA!$B43+3,CIMA_H!$A:$H,8,FALSE))/(VLOOKUP(PA!$B43,CIMA_H!$A:$H,5,FALSE)))/(1-Param!$E$8-Param!$E$9-Param!$E$10)</f>
        <v>#REF!</v>
      </c>
      <c r="F43" s="27" t="e">
        <f>$G$2*((VLOOKUP(PA!$B43,CIMA_H!$A:$H,8,FALSE)-VLOOKUP(PA!$B43+4,CIMA_H!$A:$H,8,FALSE))/(VLOOKUP(PA!$B43,CIMA_H!$A:$H,5,FALSE)))/(1-Param!$E$8-Param!$E$9-Param!$E$10)</f>
        <v>#REF!</v>
      </c>
      <c r="G43" s="27" t="e">
        <f>$G$2*((VLOOKUP(PA!$B43,CIMA_H!$A:$H,8,FALSE)-VLOOKUP(PA!$B43+5,CIMA_H!$A:$H,8,FALSE))/(VLOOKUP(PA!$B43,CIMA_H!$A:$H,5,FALSE)))/(1-Param!$E$8-Param!$E$9-Param!$E$10)</f>
        <v>#REF!</v>
      </c>
      <c r="H43" s="21"/>
    </row>
    <row r="44" spans="2:8" x14ac:dyDescent="0.3">
      <c r="B44" s="24">
        <v>58</v>
      </c>
      <c r="C44" s="27" t="e">
        <f>$G$2*((VLOOKUP(PA!$B44,CIMA_H!$A:$H,8,FALSE)-VLOOKUP(PA!$B44+1,CIMA_H!$A:$H,8,FALSE))/(VLOOKUP(PA!$B44,CIMA_H!$A:$H,5,FALSE)))/(1-Param!$E$8-Param!$E$9-Param!$E$10)</f>
        <v>#REF!</v>
      </c>
      <c r="D44" s="27" t="e">
        <f>$G$2*((VLOOKUP(PA!$B44,CIMA_H!$A:$H,8,FALSE)-VLOOKUP(PA!$B44+2,CIMA_H!$A:$H,8,FALSE))/(VLOOKUP(PA!$B44,CIMA_H!$A:$H,5,FALSE)))/(1-Param!$E$8-Param!$E$9-Param!$E$10)</f>
        <v>#REF!</v>
      </c>
      <c r="E44" s="27" t="e">
        <f>$G$2*((VLOOKUP(PA!$B44,CIMA_H!$A:$H,8,FALSE)-VLOOKUP(PA!$B44+3,CIMA_H!$A:$H,8,FALSE))/(VLOOKUP(PA!$B44,CIMA_H!$A:$H,5,FALSE)))/(1-Param!$E$8-Param!$E$9-Param!$E$10)</f>
        <v>#REF!</v>
      </c>
      <c r="F44" s="27" t="e">
        <f>$G$2*((VLOOKUP(PA!$B44,CIMA_H!$A:$H,8,FALSE)-VLOOKUP(PA!$B44+4,CIMA_H!$A:$H,8,FALSE))/(VLOOKUP(PA!$B44,CIMA_H!$A:$H,5,FALSE)))/(1-Param!$E$8-Param!$E$9-Param!$E$10)</f>
        <v>#REF!</v>
      </c>
      <c r="G44" s="27" t="e">
        <f>$G$2*((VLOOKUP(PA!$B44,CIMA_H!$A:$H,8,FALSE)-VLOOKUP(PA!$B44+5,CIMA_H!$A:$H,8,FALSE))/(VLOOKUP(PA!$B44,CIMA_H!$A:$H,5,FALSE)))/(1-Param!$E$8-Param!$E$9-Param!$E$10)</f>
        <v>#REF!</v>
      </c>
      <c r="H44" s="21"/>
    </row>
    <row r="45" spans="2:8" x14ac:dyDescent="0.3">
      <c r="B45" s="24">
        <v>59</v>
      </c>
      <c r="C45" s="27" t="e">
        <f>$G$2*((VLOOKUP(PA!$B45,CIMA_H!$A:$H,8,FALSE)-VLOOKUP(PA!$B45+1,CIMA_H!$A:$H,8,FALSE))/(VLOOKUP(PA!$B45,CIMA_H!$A:$H,5,FALSE)))/(1-Param!$E$8-Param!$E$9-Param!$E$10)</f>
        <v>#REF!</v>
      </c>
      <c r="D45" s="27" t="e">
        <f>$G$2*((VLOOKUP(PA!$B45,CIMA_H!$A:$H,8,FALSE)-VLOOKUP(PA!$B45+2,CIMA_H!$A:$H,8,FALSE))/(VLOOKUP(PA!$B45,CIMA_H!$A:$H,5,FALSE)))/(1-Param!$E$8-Param!$E$9-Param!$E$10)</f>
        <v>#REF!</v>
      </c>
      <c r="E45" s="27" t="e">
        <f>$G$2*((VLOOKUP(PA!$B45,CIMA_H!$A:$H,8,FALSE)-VLOOKUP(PA!$B45+3,CIMA_H!$A:$H,8,FALSE))/(VLOOKUP(PA!$B45,CIMA_H!$A:$H,5,FALSE)))/(1-Param!$E$8-Param!$E$9-Param!$E$10)</f>
        <v>#REF!</v>
      </c>
      <c r="F45" s="27" t="e">
        <f>$G$2*((VLOOKUP(PA!$B45,CIMA_H!$A:$H,8,FALSE)-VLOOKUP(PA!$B45+4,CIMA_H!$A:$H,8,FALSE))/(VLOOKUP(PA!$B45,CIMA_H!$A:$H,5,FALSE)))/(1-Param!$E$8-Param!$E$9-Param!$E$10)</f>
        <v>#REF!</v>
      </c>
      <c r="G45" s="27" t="e">
        <f>$G$2*((VLOOKUP(PA!$B45,CIMA_H!$A:$H,8,FALSE)-VLOOKUP(PA!$B45+5,CIMA_H!$A:$H,8,FALSE))/(VLOOKUP(PA!$B45,CIMA_H!$A:$H,5,FALSE)))/(1-Param!$E$8-Param!$E$9-Param!$E$10)</f>
        <v>#REF!</v>
      </c>
      <c r="H45" s="21"/>
    </row>
    <row r="46" spans="2:8" x14ac:dyDescent="0.3">
      <c r="B46" s="24">
        <v>60</v>
      </c>
      <c r="C46" s="27" t="e">
        <f>$G$2*((VLOOKUP(PA!$B46,CIMA_H!$A:$H,8,FALSE)-VLOOKUP(PA!$B46+1,CIMA_H!$A:$H,8,FALSE))/(VLOOKUP(PA!$B46,CIMA_H!$A:$H,5,FALSE)))/(1-Param!$E$8-Param!$E$9-Param!$E$10)</f>
        <v>#REF!</v>
      </c>
      <c r="D46" s="27" t="e">
        <f>$G$2*((VLOOKUP(PA!$B46,CIMA_H!$A:$H,8,FALSE)-VLOOKUP(PA!$B46+2,CIMA_H!$A:$H,8,FALSE))/(VLOOKUP(PA!$B46,CIMA_H!$A:$H,5,FALSE)))/(1-Param!$E$8-Param!$E$9-Param!$E$10)</f>
        <v>#REF!</v>
      </c>
      <c r="E46" s="27" t="e">
        <f>$G$2*((VLOOKUP(PA!$B46,CIMA_H!$A:$H,8,FALSE)-VLOOKUP(PA!$B46+3,CIMA_H!$A:$H,8,FALSE))/(VLOOKUP(PA!$B46,CIMA_H!$A:$H,5,FALSE)))/(1-Param!$E$8-Param!$E$9-Param!$E$10)</f>
        <v>#REF!</v>
      </c>
      <c r="F46" s="27" t="e">
        <f>$G$2*((VLOOKUP(PA!$B46,CIMA_H!$A:$H,8,FALSE)-VLOOKUP(PA!$B46+4,CIMA_H!$A:$H,8,FALSE))/(VLOOKUP(PA!$B46,CIMA_H!$A:$H,5,FALSE)))/(1-Param!$E$8-Param!$E$9-Param!$E$10)</f>
        <v>#REF!</v>
      </c>
      <c r="G46" s="27" t="e">
        <f>$G$2*((VLOOKUP(PA!$B46,CIMA_H!$A:$H,8,FALSE)-VLOOKUP(PA!$B46+5,CIMA_H!$A:$H,8,FALSE))/(VLOOKUP(PA!$B46,CIMA_H!$A:$H,5,FALSE)))/(1-Param!$E$8-Param!$E$9-Param!$E$10)</f>
        <v>#REF!</v>
      </c>
      <c r="H46" s="21"/>
    </row>
    <row r="47" spans="2:8" x14ac:dyDescent="0.3">
      <c r="B47" s="24">
        <v>61</v>
      </c>
      <c r="C47" s="27" t="e">
        <f>$G$2*((VLOOKUP(PA!$B47,CIMA_H!$A:$H,8,FALSE)-VLOOKUP(PA!$B47+1,CIMA_H!$A:$H,8,FALSE))/(VLOOKUP(PA!$B47,CIMA_H!$A:$H,5,FALSE)))/(1-Param!$E$8-Param!$E$9-Param!$E$10)</f>
        <v>#REF!</v>
      </c>
      <c r="D47" s="27" t="e">
        <f>$G$2*((VLOOKUP(PA!$B47,CIMA_H!$A:$H,8,FALSE)-VLOOKUP(PA!$B47+2,CIMA_H!$A:$H,8,FALSE))/(VLOOKUP(PA!$B47,CIMA_H!$A:$H,5,FALSE)))/(1-Param!$E$8-Param!$E$9-Param!$E$10)</f>
        <v>#REF!</v>
      </c>
      <c r="E47" s="27" t="e">
        <f>$G$2*((VLOOKUP(PA!$B47,CIMA_H!$A:$H,8,FALSE)-VLOOKUP(PA!$B47+3,CIMA_H!$A:$H,8,FALSE))/(VLOOKUP(PA!$B47,CIMA_H!$A:$H,5,FALSE)))/(1-Param!$E$8-Param!$E$9-Param!$E$10)</f>
        <v>#REF!</v>
      </c>
      <c r="F47" s="27" t="e">
        <f>$G$2*((VLOOKUP(PA!$B47,CIMA_H!$A:$H,8,FALSE)-VLOOKUP(PA!$B47+4,CIMA_H!$A:$H,8,FALSE))/(VLOOKUP(PA!$B47,CIMA_H!$A:$H,5,FALSE)))/(1-Param!$E$8-Param!$E$9-Param!$E$10)</f>
        <v>#REF!</v>
      </c>
      <c r="G47" s="27" t="e">
        <f>$G$2*((VLOOKUP(PA!$B47,CIMA_H!$A:$H,8,FALSE)-VLOOKUP(PA!$B47+5,CIMA_H!$A:$H,8,FALSE))/(VLOOKUP(PA!$B47,CIMA_H!$A:$H,5,FALSE)))/(1-Param!$E$8-Param!$E$9-Param!$E$10)</f>
        <v>#REF!</v>
      </c>
      <c r="H47" s="21"/>
    </row>
    <row r="48" spans="2:8" x14ac:dyDescent="0.3">
      <c r="B48" s="24">
        <v>62</v>
      </c>
      <c r="C48" s="27" t="e">
        <f>$G$2*((VLOOKUP(PA!$B48,CIMA_H!$A:$H,8,FALSE)-VLOOKUP(PA!$B48+1,CIMA_H!$A:$H,8,FALSE))/(VLOOKUP(PA!$B48,CIMA_H!$A:$H,5,FALSE)))/(1-Param!$E$8-Param!$E$9-Param!$E$10)</f>
        <v>#REF!</v>
      </c>
      <c r="D48" s="27" t="e">
        <f>$G$2*((VLOOKUP(PA!$B48,CIMA_H!$A:$H,8,FALSE)-VLOOKUP(PA!$B48+2,CIMA_H!$A:$H,8,FALSE))/(VLOOKUP(PA!$B48,CIMA_H!$A:$H,5,FALSE)))/(1-Param!$E$8-Param!$E$9-Param!$E$10)</f>
        <v>#REF!</v>
      </c>
      <c r="E48" s="27" t="e">
        <f>$G$2*((VLOOKUP(PA!$B48,CIMA_H!$A:$H,8,FALSE)-VLOOKUP(PA!$B48+3,CIMA_H!$A:$H,8,FALSE))/(VLOOKUP(PA!$B48,CIMA_H!$A:$H,5,FALSE)))/(1-Param!$E$8-Param!$E$9-Param!$E$10)</f>
        <v>#REF!</v>
      </c>
      <c r="F48" s="27" t="e">
        <f>$G$2*((VLOOKUP(PA!$B48,CIMA_H!$A:$H,8,FALSE)-VLOOKUP(PA!$B48+4,CIMA_H!$A:$H,8,FALSE))/(VLOOKUP(PA!$B48,CIMA_H!$A:$H,5,FALSE)))/(1-Param!$E$8-Param!$E$9-Param!$E$10)</f>
        <v>#REF!</v>
      </c>
      <c r="G48" s="27" t="e">
        <f>$G$2*((VLOOKUP(PA!$B48,CIMA_H!$A:$H,8,FALSE)-VLOOKUP(PA!$B48+5,CIMA_H!$A:$H,8,FALSE))/(VLOOKUP(PA!$B48,CIMA_H!$A:$H,5,FALSE)))/(1-Param!$E$8-Param!$E$9-Param!$E$10)</f>
        <v>#REF!</v>
      </c>
      <c r="H48" s="21"/>
    </row>
    <row r="49" spans="2:8" x14ac:dyDescent="0.3">
      <c r="B49" s="24">
        <v>63</v>
      </c>
      <c r="C49" s="27" t="e">
        <f>$G$2*((VLOOKUP(PA!$B49,CIMA_H!$A:$H,8,FALSE)-VLOOKUP(PA!$B49+1,CIMA_H!$A:$H,8,FALSE))/(VLOOKUP(PA!$B49,CIMA_H!$A:$H,5,FALSE)))/(1-Param!$E$8-Param!$E$9-Param!$E$10)</f>
        <v>#REF!</v>
      </c>
      <c r="D49" s="27" t="e">
        <f>$G$2*((VLOOKUP(PA!$B49,CIMA_H!$A:$H,8,FALSE)-VLOOKUP(PA!$B49+2,CIMA_H!$A:$H,8,FALSE))/(VLOOKUP(PA!$B49,CIMA_H!$A:$H,5,FALSE)))/(1-Param!$E$8-Param!$E$9-Param!$E$10)</f>
        <v>#REF!</v>
      </c>
      <c r="E49" s="27" t="e">
        <f>$G$2*((VLOOKUP(PA!$B49,CIMA_H!$A:$H,8,FALSE)-VLOOKUP(PA!$B49+3,CIMA_H!$A:$H,8,FALSE))/(VLOOKUP(PA!$B49,CIMA_H!$A:$H,5,FALSE)))/(1-Param!$E$8-Param!$E$9-Param!$E$10)</f>
        <v>#REF!</v>
      </c>
      <c r="F49" s="27" t="e">
        <f>$G$2*((VLOOKUP(PA!$B49,CIMA_H!$A:$H,8,FALSE)-VLOOKUP(PA!$B49+4,CIMA_H!$A:$H,8,FALSE))/(VLOOKUP(PA!$B49,CIMA_H!$A:$H,5,FALSE)))/(1-Param!$E$8-Param!$E$9-Param!$E$10)</f>
        <v>#REF!</v>
      </c>
      <c r="G49" s="27" t="e">
        <f>$G$2*((VLOOKUP(PA!$B49,CIMA_H!$A:$H,8,FALSE)-VLOOKUP(PA!$B49+5,CIMA_H!$A:$H,8,FALSE))/(VLOOKUP(PA!$B49,CIMA_H!$A:$H,5,FALSE)))/(1-Param!$E$8-Param!$E$9-Param!$E$10)</f>
        <v>#REF!</v>
      </c>
      <c r="H49" s="21"/>
    </row>
    <row r="50" spans="2:8" x14ac:dyDescent="0.3">
      <c r="B50" s="24">
        <v>64</v>
      </c>
      <c r="C50" s="27" t="e">
        <f>$G$2*((VLOOKUP(PA!$B50,CIMA_H!$A:$H,8,FALSE)-VLOOKUP(PA!$B50+1,CIMA_H!$A:$H,8,FALSE))/(VLOOKUP(PA!$B50,CIMA_H!$A:$H,5,FALSE)))/(1-Param!$E$8-Param!$E$9-Param!$E$10)</f>
        <v>#REF!</v>
      </c>
      <c r="D50" s="27" t="e">
        <f>$G$2*((VLOOKUP(PA!$B50,CIMA_H!$A:$H,8,FALSE)-VLOOKUP(PA!$B50+2,CIMA_H!$A:$H,8,FALSE))/(VLOOKUP(PA!$B50,CIMA_H!$A:$H,5,FALSE)))/(1-Param!$E$8-Param!$E$9-Param!$E$10)</f>
        <v>#REF!</v>
      </c>
      <c r="E50" s="27" t="e">
        <f>$G$2*((VLOOKUP(PA!$B50,CIMA_H!$A:$H,8,FALSE)-VLOOKUP(PA!$B50+3,CIMA_H!$A:$H,8,FALSE))/(VLOOKUP(PA!$B50,CIMA_H!$A:$H,5,FALSE)))/(1-Param!$E$8-Param!$E$9-Param!$E$10)</f>
        <v>#REF!</v>
      </c>
      <c r="F50" s="27" t="e">
        <f>$G$2*((VLOOKUP(PA!$B50,CIMA_H!$A:$H,8,FALSE)-VLOOKUP(PA!$B50+4,CIMA_H!$A:$H,8,FALSE))/(VLOOKUP(PA!$B50,CIMA_H!$A:$H,5,FALSE)))/(1-Param!$E$8-Param!$E$9-Param!$E$10)</f>
        <v>#REF!</v>
      </c>
      <c r="G50" s="27" t="e">
        <f>$G$2*((VLOOKUP(PA!$B50,CIMA_H!$A:$H,8,FALSE)-VLOOKUP(PA!$B50+5,CIMA_H!$A:$H,8,FALSE))/(VLOOKUP(PA!$B50,CIMA_H!$A:$H,5,FALSE)))/(1-Param!$E$8-Param!$E$9-Param!$E$10)</f>
        <v>#REF!</v>
      </c>
      <c r="H50" s="21"/>
    </row>
    <row r="51" spans="2:8" x14ac:dyDescent="0.3">
      <c r="B51" s="44">
        <v>65</v>
      </c>
      <c r="C51" s="48" t="e">
        <f>$G$2*((VLOOKUP(PA!$B51,CIMA_H!$A:$H,8,FALSE)-VLOOKUP(PA!$B51+1,CIMA_H!$A:$H,8,FALSE))/(VLOOKUP(PA!$B51,CIMA_H!$A:$H,5,FALSE)))/(1-Param!$E$8-Param!$E$9-Param!$E$10)</f>
        <v>#REF!</v>
      </c>
      <c r="D51" s="48" t="e">
        <f>$G$2*((VLOOKUP(PA!$B51,CIMA_H!$A:$H,8,FALSE)-VLOOKUP(PA!$B51+2,CIMA_H!$A:$H,8,FALSE))/(VLOOKUP(PA!$B51,CIMA_H!$A:$H,5,FALSE)))/(1-Param!$E$8-Param!$E$9-Param!$E$10)</f>
        <v>#REF!</v>
      </c>
      <c r="E51" s="48" t="e">
        <f>$G$2*((VLOOKUP(PA!$B51,CIMA_H!$A:$H,8,FALSE)-VLOOKUP(PA!$B51+3,CIMA_H!$A:$H,8,FALSE))/(VLOOKUP(PA!$B51,CIMA_H!$A:$H,5,FALSE)))/(1-Param!$E$8-Param!$E$9-Param!$E$10)</f>
        <v>#REF!</v>
      </c>
      <c r="F51" s="48" t="e">
        <f>$G$2*((VLOOKUP(PA!$B51,CIMA_H!$A:$H,8,FALSE)-VLOOKUP(PA!$B51+4,CIMA_H!$A:$H,8,FALSE))/(VLOOKUP(PA!$B51,CIMA_H!$A:$H,5,FALSE)))/(1-Param!$E$8-Param!$E$9-Param!$E$10)</f>
        <v>#REF!</v>
      </c>
      <c r="G51" s="48" t="e">
        <f>$G$2*((VLOOKUP(PA!$B51,CIMA_H!$A:$H,8,FALSE)-VLOOKUP(PA!$B51+5,CIMA_H!$A:$H,8,FALSE))/(VLOOKUP(PA!$B51,CIMA_H!$A:$H,5,FALSE)))/(1-Param!$E$8-Param!$E$9-Param!$E$10)</f>
        <v>#REF!</v>
      </c>
    </row>
    <row r="52" spans="2:8" x14ac:dyDescent="0.3">
      <c r="B52" s="44">
        <v>66</v>
      </c>
      <c r="C52" s="48" t="e">
        <f>$G$2*((VLOOKUP(PA!$B52,CIMA_H!$A:$H,8,FALSE)-VLOOKUP(PA!$B52+1,CIMA_H!$A:$H,8,FALSE))/(VLOOKUP(PA!$B52,CIMA_H!$A:$H,5,FALSE)))/(1-Param!$E$8-Param!$E$9-Param!$E$10)</f>
        <v>#REF!</v>
      </c>
      <c r="D52" s="48" t="e">
        <f>$G$2*((VLOOKUP(PA!$B52,CIMA_H!$A:$H,8,FALSE)-VLOOKUP(PA!$B52+2,CIMA_H!$A:$H,8,FALSE))/(VLOOKUP(PA!$B52,CIMA_H!$A:$H,5,FALSE)))/(1-Param!$E$8-Param!$E$9-Param!$E$10)</f>
        <v>#REF!</v>
      </c>
      <c r="E52" s="48" t="e">
        <f>$G$2*((VLOOKUP(PA!$B52,CIMA_H!$A:$H,8,FALSE)-VLOOKUP(PA!$B52+3,CIMA_H!$A:$H,8,FALSE))/(VLOOKUP(PA!$B52,CIMA_H!$A:$H,5,FALSE)))/(1-Param!$E$8-Param!$E$9-Param!$E$10)</f>
        <v>#REF!</v>
      </c>
      <c r="F52" s="48" t="e">
        <f>$G$2*((VLOOKUP(PA!$B52,CIMA_H!$A:$H,8,FALSE)-VLOOKUP(PA!$B52+4,CIMA_H!$A:$H,8,FALSE))/(VLOOKUP(PA!$B52,CIMA_H!$A:$H,5,FALSE)))/(1-Param!$E$8-Param!$E$9-Param!$E$10)</f>
        <v>#REF!</v>
      </c>
      <c r="G52" s="48" t="e">
        <f>$G$2*((VLOOKUP(PA!$B52,CIMA_H!$A:$H,8,FALSE)-VLOOKUP(PA!$B52+5,CIMA_H!$A:$H,8,FALSE))/(VLOOKUP(PA!$B52,CIMA_H!$A:$H,5,FALSE)))/(1-Param!$E$8-Param!$E$9-Param!$E$10)</f>
        <v>#REF!</v>
      </c>
    </row>
    <row r="53" spans="2:8" x14ac:dyDescent="0.3">
      <c r="B53" s="44">
        <v>67</v>
      </c>
      <c r="C53" s="48" t="e">
        <f>$G$2*((VLOOKUP(PA!$B53,CIMA_H!$A:$H,8,FALSE)-VLOOKUP(PA!$B53+1,CIMA_H!$A:$H,8,FALSE))/(VLOOKUP(PA!$B53,CIMA_H!$A:$H,5,FALSE)))/(1-Param!$E$8-Param!$E$9-Param!$E$10)</f>
        <v>#REF!</v>
      </c>
      <c r="D53" s="48" t="e">
        <f>$G$2*((VLOOKUP(PA!$B53,CIMA_H!$A:$H,8,FALSE)-VLOOKUP(PA!$B53+2,CIMA_H!$A:$H,8,FALSE))/(VLOOKUP(PA!$B53,CIMA_H!$A:$H,5,FALSE)))/(1-Param!$E$8-Param!$E$9-Param!$E$10)</f>
        <v>#REF!</v>
      </c>
      <c r="E53" s="48" t="e">
        <f>$G$2*((VLOOKUP(PA!$B53,CIMA_H!$A:$H,8,FALSE)-VLOOKUP(PA!$B53+3,CIMA_H!$A:$H,8,FALSE))/(VLOOKUP(PA!$B53,CIMA_H!$A:$H,5,FALSE)))/(1-Param!$E$8-Param!$E$9-Param!$E$10)</f>
        <v>#REF!</v>
      </c>
      <c r="F53" s="48" t="e">
        <f>$G$2*((VLOOKUP(PA!$B53,CIMA_H!$A:$H,8,FALSE)-VLOOKUP(PA!$B53+4,CIMA_H!$A:$H,8,FALSE))/(VLOOKUP(PA!$B53,CIMA_H!$A:$H,5,FALSE)))/(1-Param!$E$8-Param!$E$9-Param!$E$10)</f>
        <v>#REF!</v>
      </c>
      <c r="G53" s="48" t="e">
        <f>$G$2*((VLOOKUP(PA!$B53,CIMA_H!$A:$H,8,FALSE)-VLOOKUP(PA!$B53+5,CIMA_H!$A:$H,8,FALSE))/(VLOOKUP(PA!$B53,CIMA_H!$A:$H,5,FALSE)))/(1-Param!$E$8-Param!$E$9-Param!$E$10)</f>
        <v>#REF!</v>
      </c>
    </row>
    <row r="54" spans="2:8" x14ac:dyDescent="0.3">
      <c r="B54" s="44">
        <v>68</v>
      </c>
      <c r="C54" s="48" t="e">
        <f>$G$2*((VLOOKUP(PA!$B54,CIMA_H!$A:$H,8,FALSE)-VLOOKUP(PA!$B54+1,CIMA_H!$A:$H,8,FALSE))/(VLOOKUP(PA!$B54,CIMA_H!$A:$H,5,FALSE)))/(1-Param!$E$8-Param!$E$9-Param!$E$10)</f>
        <v>#REF!</v>
      </c>
      <c r="D54" s="48" t="e">
        <f>$G$2*((VLOOKUP(PA!$B54,CIMA_H!$A:$H,8,FALSE)-VLOOKUP(PA!$B54+2,CIMA_H!$A:$H,8,FALSE))/(VLOOKUP(PA!$B54,CIMA_H!$A:$H,5,FALSE)))/(1-Param!$E$8-Param!$E$9-Param!$E$10)</f>
        <v>#REF!</v>
      </c>
      <c r="E54" s="48" t="e">
        <f>$G$2*((VLOOKUP(PA!$B54,CIMA_H!$A:$H,8,FALSE)-VLOOKUP(PA!$B54+3,CIMA_H!$A:$H,8,FALSE))/(VLOOKUP(PA!$B54,CIMA_H!$A:$H,5,FALSE)))/(1-Param!$E$8-Param!$E$9-Param!$E$10)</f>
        <v>#REF!</v>
      </c>
      <c r="F54" s="48" t="e">
        <f>$G$2*((VLOOKUP(PA!$B54,CIMA_H!$A:$H,8,FALSE)-VLOOKUP(PA!$B54+4,CIMA_H!$A:$H,8,FALSE))/(VLOOKUP(PA!$B54,CIMA_H!$A:$H,5,FALSE)))/(1-Param!$E$8-Param!$E$9-Param!$E$10)</f>
        <v>#REF!</v>
      </c>
      <c r="G54" s="48" t="e">
        <f>$G$2*((VLOOKUP(PA!$B54,CIMA_H!$A:$H,8,FALSE)-VLOOKUP(PA!$B54+5,CIMA_H!$A:$H,8,FALSE))/(VLOOKUP(PA!$B54,CIMA_H!$A:$H,5,FALSE)))/(1-Param!$E$8-Param!$E$9-Param!$E$10)</f>
        <v>#REF!</v>
      </c>
    </row>
    <row r="55" spans="2:8" x14ac:dyDescent="0.3">
      <c r="B55" s="44">
        <v>69</v>
      </c>
      <c r="C55" s="48" t="e">
        <f>$G$2*((VLOOKUP(PA!$B55,CIMA_H!$A:$H,8,FALSE)-VLOOKUP(PA!$B55+1,CIMA_H!$A:$H,8,FALSE))/(VLOOKUP(PA!$B55,CIMA_H!$A:$H,5,FALSE)))/(1-Param!$E$8-Param!$E$9-Param!$E$10)</f>
        <v>#REF!</v>
      </c>
      <c r="D55" s="48" t="e">
        <f>$G$2*((VLOOKUP(PA!$B55,CIMA_H!$A:$H,8,FALSE)-VLOOKUP(PA!$B55+2,CIMA_H!$A:$H,8,FALSE))/(VLOOKUP(PA!$B55,CIMA_H!$A:$H,5,FALSE)))/(1-Param!$E$8-Param!$E$9-Param!$E$10)</f>
        <v>#REF!</v>
      </c>
      <c r="E55" s="48" t="e">
        <f>$G$2*((VLOOKUP(PA!$B55,CIMA_H!$A:$H,8,FALSE)-VLOOKUP(PA!$B55+3,CIMA_H!$A:$H,8,FALSE))/(VLOOKUP(PA!$B55,CIMA_H!$A:$H,5,FALSE)))/(1-Param!$E$8-Param!$E$9-Param!$E$10)</f>
        <v>#REF!</v>
      </c>
      <c r="F55" s="48" t="e">
        <f>$G$2*((VLOOKUP(PA!$B55,CIMA_H!$A:$H,8,FALSE)-VLOOKUP(PA!$B55+4,CIMA_H!$A:$H,8,FALSE))/(VLOOKUP(PA!$B55,CIMA_H!$A:$H,5,FALSE)))/(1-Param!$E$8-Param!$E$9-Param!$E$10)</f>
        <v>#REF!</v>
      </c>
      <c r="G55" s="48" t="e">
        <f>$G$2*((VLOOKUP(PA!$B55,CIMA_H!$A:$H,8,FALSE)-VLOOKUP(PA!$B55+5,CIMA_H!$A:$H,8,FALSE))/(VLOOKUP(PA!$B55,CIMA_H!$A:$H,5,FALSE)))/(1-Param!$E$8-Param!$E$9-Param!$E$10)</f>
        <v>#REF!</v>
      </c>
    </row>
    <row r="56" spans="2:8" x14ac:dyDescent="0.3">
      <c r="B56" s="44">
        <v>70</v>
      </c>
      <c r="C56" s="48" t="e">
        <f>$G$2*((VLOOKUP(PA!$B56,CIMA_H!$A:$H,8,FALSE)-VLOOKUP(PA!$B56+1,CIMA_H!$A:$H,8,FALSE))/(VLOOKUP(PA!$B56,CIMA_H!$A:$H,5,FALSE)))/(1-Param!$E$8-Param!$E$9-Param!$E$10)</f>
        <v>#REF!</v>
      </c>
      <c r="D56" s="48" t="e">
        <f>$G$2*((VLOOKUP(PA!$B56,CIMA_H!$A:$H,8,FALSE)-VLOOKUP(PA!$B56+2,CIMA_H!$A:$H,8,FALSE))/(VLOOKUP(PA!$B56,CIMA_H!$A:$H,5,FALSE)))/(1-Param!$E$8-Param!$E$9-Param!$E$10)</f>
        <v>#REF!</v>
      </c>
      <c r="E56" s="48" t="e">
        <f>$G$2*((VLOOKUP(PA!$B56,CIMA_H!$A:$H,8,FALSE)-VLOOKUP(PA!$B56+3,CIMA_H!$A:$H,8,FALSE))/(VLOOKUP(PA!$B56,CIMA_H!$A:$H,5,FALSE)))/(1-Param!$E$8-Param!$E$9-Param!$E$10)</f>
        <v>#REF!</v>
      </c>
      <c r="F56" s="48" t="e">
        <f>$G$2*((VLOOKUP(PA!$B56,CIMA_H!$A:$H,8,FALSE)-VLOOKUP(PA!$B56+4,CIMA_H!$A:$H,8,FALSE))/(VLOOKUP(PA!$B56,CIMA_H!$A:$H,5,FALSE)))/(1-Param!$E$8-Param!$E$9-Param!$E$10)</f>
        <v>#REF!</v>
      </c>
      <c r="G56" s="48" t="e">
        <f>$G$2*((VLOOKUP(PA!$B56,CIMA_H!$A:$H,8,FALSE)-VLOOKUP(PA!$B56+5,CIMA_H!$A:$H,8,FALSE))/(VLOOKUP(PA!$B56,CIMA_H!$A:$H,5,FALSE)))/(1-Param!$E$8-Param!$E$9-Param!$E$10)</f>
        <v>#REF!</v>
      </c>
    </row>
  </sheetData>
  <mergeCells count="2">
    <mergeCell ref="B4:B5"/>
    <mergeCell ref="C4:G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5" tint="-0.249977111117893"/>
  </sheetPr>
  <dimension ref="B2:I56"/>
  <sheetViews>
    <sheetView showGridLines="0" zoomScale="70" zoomScaleNormal="7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G2" sqref="G2"/>
    </sheetView>
  </sheetViews>
  <sheetFormatPr baseColWidth="10" defaultRowHeight="14.4" x14ac:dyDescent="0.3"/>
  <cols>
    <col min="1" max="1" width="6.21875" customWidth="1"/>
    <col min="2" max="2" width="13" customWidth="1"/>
    <col min="3" max="4" width="12.6640625" customWidth="1"/>
    <col min="5" max="5" width="12" customWidth="1"/>
    <col min="6" max="6" width="12.44140625" customWidth="1"/>
    <col min="7" max="7" width="15.44140625" customWidth="1"/>
    <col min="8" max="8" width="9" customWidth="1"/>
    <col min="9" max="9" width="5.44140625" customWidth="1"/>
  </cols>
  <sheetData>
    <row r="2" spans="2:9" ht="21" x14ac:dyDescent="0.4">
      <c r="F2" s="33" t="s">
        <v>33</v>
      </c>
      <c r="G2" s="32">
        <f>DTC!D15</f>
        <v>128993549.6068892</v>
      </c>
      <c r="H2" s="32"/>
    </row>
    <row r="3" spans="2:9" ht="15" thickBot="1" x14ac:dyDescent="0.35">
      <c r="B3" s="22" t="s">
        <v>8</v>
      </c>
      <c r="H3" s="34"/>
    </row>
    <row r="4" spans="2:9" x14ac:dyDescent="0.3">
      <c r="B4" s="100" t="s">
        <v>30</v>
      </c>
      <c r="C4" s="102" t="s">
        <v>31</v>
      </c>
      <c r="D4" s="102"/>
      <c r="E4" s="102"/>
      <c r="F4" s="102"/>
      <c r="G4" s="103"/>
      <c r="H4" s="37"/>
    </row>
    <row r="5" spans="2:9" x14ac:dyDescent="0.3">
      <c r="B5" s="101"/>
      <c r="C5" s="25">
        <v>1</v>
      </c>
      <c r="D5" s="25">
        <v>2</v>
      </c>
      <c r="E5" s="25">
        <v>3</v>
      </c>
      <c r="F5" s="25">
        <v>4</v>
      </c>
      <c r="G5" s="26">
        <v>5</v>
      </c>
      <c r="H5" s="38"/>
    </row>
    <row r="6" spans="2:9" x14ac:dyDescent="0.3">
      <c r="B6" s="24">
        <v>20</v>
      </c>
      <c r="C6" s="27">
        <f>$G$2*((VLOOKUP(PA!B6,CIMA_H!$A:$H,8,FALSE)-VLOOKUP(PA!B6+1,CIMA_H!$A:$H,8,FALSE))/(VLOOKUP(PA!B6,CIMA_H!$A:$H,6,FALSE)-VLOOKUP(PA!B6+1,CIMA_H!$A:$H,6,FALSE)))/(1-Param!$E$8-Param!$E$9-Param!$E$10)</f>
        <v>280995.30670087418</v>
      </c>
      <c r="D6" s="27">
        <f>$G$2*((VLOOKUP(PA!B6,CIMA_H!$A:$H,8,FALSE)-VLOOKUP(PA!B6+2,CIMA_H!$A:$H,8,FALSE))/(VLOOKUP(PA!B6,CIMA_H!$A:$H,6,FALSE)-VLOOKUP(PA!B6+2,CIMA_H!$A:$H,6,FALSE)))/(1-Param!$E$8-Param!$E$9-Param!$E$10)</f>
        <v>285754.38424613315</v>
      </c>
      <c r="E6" s="27">
        <f>$G$2*((VLOOKUP(PA!B6,CIMA_H!$A:$H,8,FALSE)-VLOOKUP(PA!B6+3,CIMA_H!$A:$H,8,FALSE))/(VLOOKUP(PA!B6,CIMA_H!$A:$H,6,FALSE)-VLOOKUP(PA!B6+3,CIMA_H!$A:$H,6,FALSE)))/(1-Param!$E$8-Param!$E$9-Param!$E$10)</f>
        <v>289127.38026161725</v>
      </c>
      <c r="F6" s="27">
        <f>$G$2*((VLOOKUP(PA!B6,CIMA_H!$A:$H,8,FALSE)-VLOOKUP(PA!B6+4,CIMA_H!$A:$H,8,FALSE))/(VLOOKUP(PA!B6,CIMA_H!$A:$H,6,FALSE)-VLOOKUP(PA!B6+4,CIMA_H!$A:$H,6,FALSE)))/(1-Param!$E$8-Param!$E$9-Param!$E$10)</f>
        <v>291876.8017599748</v>
      </c>
      <c r="G6" s="28">
        <f>$G$2*((VLOOKUP(PA!B6,CIMA_H!$A:$H,8,FALSE)-VLOOKUP(PA!B6+5,CIMA_H!$A:$H,8,FALSE))/(VLOOKUP(PA!B6,CIMA_H!$A:$H,6,FALSE)-VLOOKUP(PA!B6+5,CIMA_H!$A:$H,6,FALSE)))/(1-Param!$E$8-Param!$E$9-Param!$E$10)</f>
        <v>294567.86170458916</v>
      </c>
      <c r="H6" s="21"/>
    </row>
    <row r="7" spans="2:9" x14ac:dyDescent="0.3">
      <c r="B7" s="24">
        <v>21</v>
      </c>
      <c r="C7" s="27">
        <f>$G$2*((VLOOKUP(PA!B7,CIMA_H!$A:$H,8,FALSE)-VLOOKUP(PA!B7+1,CIMA_H!$A:$H,8,FALSE))/(VLOOKUP(PA!B7,CIMA_H!$A:$H,6,FALSE)-VLOOKUP(PA!B7+1,CIMA_H!$A:$H,6,FALSE)))/(1-Param!$E$8-Param!$E$9-Param!$E$10)</f>
        <v>290687.81557989086</v>
      </c>
      <c r="D7" s="27">
        <f>$G$2*((VLOOKUP(PA!B7,CIMA_H!$A:$H,8,FALSE)-VLOOKUP(PA!B7+2,CIMA_H!$A:$H,8,FALSE))/(VLOOKUP(PA!B7,CIMA_H!$A:$H,6,FALSE)-VLOOKUP(PA!B7+2,CIMA_H!$A:$H,6,FALSE)))/(1-Param!$E$8-Param!$E$9-Param!$E$10)</f>
        <v>293418.31700602605</v>
      </c>
      <c r="E7" s="27">
        <f>$G$2*((VLOOKUP(PA!B7,CIMA_H!$A:$H,8,FALSE)-VLOOKUP(PA!B7+3,CIMA_H!$A:$H,8,FALSE))/(VLOOKUP(PA!B7,CIMA_H!$A:$H,6,FALSE)-VLOOKUP(PA!B7+3,CIMA_H!$A:$H,6,FALSE)))/(1-Param!$E$8-Param!$E$9-Param!$E$10)</f>
        <v>295773.17014164384</v>
      </c>
      <c r="F7" s="27">
        <f>$G$2*((VLOOKUP(PA!B7,CIMA_H!$A:$H,8,FALSE)-VLOOKUP(PA!B7+4,CIMA_H!$A:$H,8,FALSE))/(VLOOKUP(PA!B7,CIMA_H!$A:$H,6,FALSE)-VLOOKUP(PA!B7+4,CIMA_H!$A:$H,6,FALSE)))/(1-Param!$E$8-Param!$E$9-Param!$E$10)</f>
        <v>298277.76734463166</v>
      </c>
      <c r="G7" s="28">
        <f>$G$2*((VLOOKUP(PA!B7,CIMA_H!$A:$H,8,FALSE)-VLOOKUP(PA!B7+5,CIMA_H!$A:$H,8,FALSE))/(VLOOKUP(PA!B7,CIMA_H!$A:$H,6,FALSE)-VLOOKUP(PA!B7+5,CIMA_H!$A:$H,6,FALSE)))/(1-Param!$E$8-Param!$E$9-Param!$E$10)</f>
        <v>300861.11989405088</v>
      </c>
      <c r="H7" s="21"/>
    </row>
    <row r="8" spans="2:9" x14ac:dyDescent="0.3">
      <c r="B8" s="24">
        <v>22</v>
      </c>
      <c r="C8" s="27">
        <f>$G$2*((VLOOKUP(PA!B8,CIMA_H!$A:$H,8,FALSE)-VLOOKUP(PA!B8+1,CIMA_H!$A:$H,8,FALSE))/(VLOOKUP(PA!B8,CIMA_H!$A:$H,6,FALSE)-VLOOKUP(PA!B8+1,CIMA_H!$A:$H,6,FALSE)))/(1-Param!$E$8-Param!$E$9-Param!$E$10)</f>
        <v>296249.00755296578</v>
      </c>
      <c r="D8" s="27">
        <f>$G$2*((VLOOKUP(PA!B8,CIMA_H!$A:$H,8,FALSE)-VLOOKUP(PA!B8+2,CIMA_H!$A:$H,8,FALSE))/(VLOOKUP(PA!B8,CIMA_H!$A:$H,6,FALSE)-VLOOKUP(PA!B8+2,CIMA_H!$A:$H,6,FALSE)))/(1-Param!$E$8-Param!$E$9-Param!$E$10)</f>
        <v>298456.67511048901</v>
      </c>
      <c r="E8" s="27">
        <f>$G$2*((VLOOKUP(PA!B8,CIMA_H!$A:$H,8,FALSE)-VLOOKUP(PA!B8+3,CIMA_H!$A:$H,8,FALSE))/(VLOOKUP(PA!B8,CIMA_H!$A:$H,6,FALSE)-VLOOKUP(PA!B8+3,CIMA_H!$A:$H,6,FALSE)))/(1-Param!$E$8-Param!$E$9-Param!$E$10)</f>
        <v>300995.74925798667</v>
      </c>
      <c r="F8" s="27">
        <f>$G$2*((VLOOKUP(PA!B8,CIMA_H!$A:$H,8,FALSE)-VLOOKUP(PA!B8+4,CIMA_H!$A:$H,8,FALSE))/(VLOOKUP(PA!B8,CIMA_H!$A:$H,6,FALSE)-VLOOKUP(PA!B8+4,CIMA_H!$A:$H,6,FALSE)))/(1-Param!$E$8-Param!$E$9-Param!$E$10)</f>
        <v>303642.14886979602</v>
      </c>
      <c r="G8" s="28">
        <f>$G$2*((VLOOKUP(PA!B8,CIMA_H!$A:$H,8,FALSE)-VLOOKUP(PA!B8+5,CIMA_H!$A:$H,8,FALSE))/(VLOOKUP(PA!B8,CIMA_H!$A:$H,6,FALSE)-VLOOKUP(PA!B8+5,CIMA_H!$A:$H,6,FALSE)))/(1-Param!$E$8-Param!$E$9-Param!$E$10)</f>
        <v>306757.7005588946</v>
      </c>
      <c r="H8" s="21"/>
    </row>
    <row r="9" spans="2:9" x14ac:dyDescent="0.3">
      <c r="B9" s="24">
        <v>23</v>
      </c>
      <c r="C9" s="27">
        <f>$G$2*((VLOOKUP(PA!B9,CIMA_H!$A:$H,8,FALSE)-VLOOKUP(PA!B9+1,CIMA_H!$A:$H,8,FALSE))/(VLOOKUP(PA!B9,CIMA_H!$A:$H,6,FALSE)-VLOOKUP(PA!B9+1,CIMA_H!$A:$H,6,FALSE)))/(1-Param!$E$8-Param!$E$9-Param!$E$10)</f>
        <v>300745.41927462828</v>
      </c>
      <c r="D9" s="27">
        <f>$G$2*((VLOOKUP(PA!B9,CIMA_H!$A:$H,8,FALSE)-VLOOKUP(PA!B9+2,CIMA_H!$A:$H,8,FALSE))/(VLOOKUP(PA!B9,CIMA_H!$A:$H,6,FALSE)-VLOOKUP(PA!B9+2,CIMA_H!$A:$H,6,FALSE)))/(1-Param!$E$8-Param!$E$9-Param!$E$10)</f>
        <v>303500.68014116283</v>
      </c>
      <c r="E9" s="27">
        <f>$G$2*((VLOOKUP(PA!B9,CIMA_H!$A:$H,8,FALSE)-VLOOKUP(PA!B9+3,CIMA_H!$A:$H,8,FALSE))/(VLOOKUP(PA!B9,CIMA_H!$A:$H,6,FALSE)-VLOOKUP(PA!B9+3,CIMA_H!$A:$H,6,FALSE)))/(1-Param!$E$8-Param!$E$9-Param!$E$10)</f>
        <v>306289.80597543233</v>
      </c>
      <c r="F9" s="27">
        <f>$G$2*((VLOOKUP(PA!B9,CIMA_H!$A:$H,8,FALSE)-VLOOKUP(PA!B9+4,CIMA_H!$A:$H,8,FALSE))/(VLOOKUP(PA!B9,CIMA_H!$A:$H,6,FALSE)-VLOOKUP(PA!B9+4,CIMA_H!$A:$H,6,FALSE)))/(1-Param!$E$8-Param!$E$9-Param!$E$10)</f>
        <v>309630.62255659007</v>
      </c>
      <c r="G9" s="28">
        <f>$G$2*((VLOOKUP(PA!B9,CIMA_H!$A:$H,8,FALSE)-VLOOKUP(PA!B9+5,CIMA_H!$A:$H,8,FALSE))/(VLOOKUP(PA!B9,CIMA_H!$A:$H,6,FALSE)-VLOOKUP(PA!B9+5,CIMA_H!$A:$H,6,FALSE)))/(1-Param!$E$8-Param!$E$9-Param!$E$10)</f>
        <v>313238.40206232574</v>
      </c>
      <c r="H9" s="21"/>
    </row>
    <row r="10" spans="2:9" x14ac:dyDescent="0.3">
      <c r="B10" s="24">
        <v>24</v>
      </c>
      <c r="C10" s="27">
        <f>$G$2*((VLOOKUP(PA!B10,CIMA_H!$A:$H,8,FALSE)-VLOOKUP(PA!B10+1,CIMA_H!$A:$H,8,FALSE))/(VLOOKUP(PA!B10,CIMA_H!$A:$H,6,FALSE)-VLOOKUP(PA!B10+1,CIMA_H!$A:$H,6,FALSE)))/(1-Param!$E$8-Param!$E$9-Param!$E$10)</f>
        <v>306357.20024228474</v>
      </c>
      <c r="D10" s="27">
        <f>$G$2*((VLOOKUP(PA!B10,CIMA_H!$A:$H,8,FALSE)-VLOOKUP(PA!B10+2,CIMA_H!$A:$H,8,FALSE))/(VLOOKUP(PA!B10,CIMA_H!$A:$H,6,FALSE)-VLOOKUP(PA!B10+2,CIMA_H!$A:$H,6,FALSE)))/(1-Param!$E$8-Param!$E$9-Param!$E$10)</f>
        <v>309215.78614608489</v>
      </c>
      <c r="E10" s="27">
        <f>$G$2*((VLOOKUP(PA!B10,CIMA_H!$A:$H,8,FALSE)-VLOOKUP(PA!B10+3,CIMA_H!$A:$H,8,FALSE))/(VLOOKUP(PA!B10,CIMA_H!$A:$H,6,FALSE)-VLOOKUP(PA!B10+3,CIMA_H!$A:$H,6,FALSE)))/(1-Param!$E$8-Param!$E$9-Param!$E$10)</f>
        <v>312812.80176395515</v>
      </c>
      <c r="F10" s="27">
        <f>$G$2*((VLOOKUP(PA!B10,CIMA_H!$A:$H,8,FALSE)-VLOOKUP(PA!B10+4,CIMA_H!$A:$H,8,FALSE))/(VLOOKUP(PA!B10,CIMA_H!$A:$H,6,FALSE)-VLOOKUP(PA!B10+4,CIMA_H!$A:$H,6,FALSE)))/(1-Param!$E$8-Param!$E$9-Param!$E$10)</f>
        <v>316654.05682481563</v>
      </c>
      <c r="G10" s="28">
        <f>$G$2*((VLOOKUP(PA!B10,CIMA_H!$A:$H,8,FALSE)-VLOOKUP(PA!B10+5,CIMA_H!$A:$H,8,FALSE))/(VLOOKUP(PA!B10,CIMA_H!$A:$H,6,FALSE)-VLOOKUP(PA!B10+5,CIMA_H!$A:$H,6,FALSE)))/(1-Param!$E$8-Param!$E$9-Param!$E$10)</f>
        <v>320502.09802829224</v>
      </c>
      <c r="H10" s="21"/>
    </row>
    <row r="11" spans="2:9" x14ac:dyDescent="0.3">
      <c r="B11" s="24">
        <v>25</v>
      </c>
      <c r="C11" s="27">
        <f>$G$2*((VLOOKUP(PA!B11,CIMA_H!$A:$H,8,FALSE)-VLOOKUP(PA!B11+1,CIMA_H!$A:$H,8,FALSE))/(VLOOKUP(PA!B11,CIMA_H!$A:$H,6,FALSE)-VLOOKUP(PA!B11+1,CIMA_H!$A:$H,6,FALSE)))/(1-Param!$E$8-Param!$E$9-Param!$E$10)</f>
        <v>312179.52217877947</v>
      </c>
      <c r="D11" s="27">
        <f>$G$2*((VLOOKUP(PA!B11,CIMA_H!$A:$H,8,FALSE)-VLOOKUP(PA!B11+2,CIMA_H!$A:$H,8,FALSE))/(VLOOKUP(PA!B11,CIMA_H!$A:$H,6,FALSE)-VLOOKUP(PA!B11+2,CIMA_H!$A:$H,6,FALSE)))/(1-Param!$E$8-Param!$E$9-Param!$E$10)</f>
        <v>316219.82642770663</v>
      </c>
      <c r="E11" s="27">
        <f>$G$2*((VLOOKUP(PA!B11,CIMA_H!$A:$H,8,FALSE)-VLOOKUP(PA!B11+3,CIMA_H!$A:$H,8,FALSE))/(VLOOKUP(PA!B11,CIMA_H!$A:$H,6,FALSE)-VLOOKUP(PA!B11+3,CIMA_H!$A:$H,6,FALSE)))/(1-Param!$E$8-Param!$E$9-Param!$E$10)</f>
        <v>320342.06109483144</v>
      </c>
      <c r="F11" s="27">
        <f>$G$2*((VLOOKUP(PA!B11,CIMA_H!$A:$H,8,FALSE)-VLOOKUP(PA!B11+4,CIMA_H!$A:$H,8,FALSE))/(VLOOKUP(PA!B11,CIMA_H!$A:$H,6,FALSE)-VLOOKUP(PA!B11+4,CIMA_H!$A:$H,6,FALSE)))/(1-Param!$E$8-Param!$E$9-Param!$E$10)</f>
        <v>324369.74220516166</v>
      </c>
      <c r="G11" s="28">
        <f>$G$2*((VLOOKUP(PA!B11,CIMA_H!$A:$H,8,FALSE)-VLOOKUP(PA!B11+5,CIMA_H!$A:$H,8,FALSE))/(VLOOKUP(PA!B11,CIMA_H!$A:$H,6,FALSE)-VLOOKUP(PA!B11+5,CIMA_H!$A:$H,6,FALSE)))/(1-Param!$E$8-Param!$E$9-Param!$E$10)</f>
        <v>328508.71211461176</v>
      </c>
      <c r="H11" s="21"/>
    </row>
    <row r="12" spans="2:9" x14ac:dyDescent="0.3">
      <c r="B12" s="24">
        <v>26</v>
      </c>
      <c r="C12" s="27">
        <f>$G$2*((VLOOKUP(PA!B12,CIMA_H!$A:$H,8,FALSE)-VLOOKUP(PA!B12+1,CIMA_H!$A:$H,8,FALSE))/(VLOOKUP(PA!B12,CIMA_H!$A:$H,6,FALSE)-VLOOKUP(PA!B12+1,CIMA_H!$A:$H,6,FALSE)))/(1-Param!$E$8-Param!$E$9-Param!$E$10)</f>
        <v>320408.886318192</v>
      </c>
      <c r="D12" s="27">
        <f>$G$2*((VLOOKUP(PA!B12,CIMA_H!$A:$H,8,FALSE)-VLOOKUP(PA!B12+2,CIMA_H!$A:$H,8,FALSE))/(VLOOKUP(PA!B12,CIMA_H!$A:$H,6,FALSE)-VLOOKUP(PA!B12+2,CIMA_H!$A:$H,6,FALSE)))/(1-Param!$E$8-Param!$E$9-Param!$E$10)</f>
        <v>324650.18243097479</v>
      </c>
      <c r="E12" s="27">
        <f>$G$2*((VLOOKUP(PA!B12,CIMA_H!$A:$H,8,FALSE)-VLOOKUP(PA!B12+3,CIMA_H!$A:$H,8,FALSE))/(VLOOKUP(PA!B12,CIMA_H!$A:$H,6,FALSE)-VLOOKUP(PA!B12+3,CIMA_H!$A:$H,6,FALSE)))/(1-Param!$E$8-Param!$E$9-Param!$E$10)</f>
        <v>328736.23219063185</v>
      </c>
      <c r="F12" s="27">
        <f>$G$2*((VLOOKUP(PA!B12,CIMA_H!$A:$H,8,FALSE)-VLOOKUP(PA!B12+4,CIMA_H!$A:$H,8,FALSE))/(VLOOKUP(PA!B12,CIMA_H!$A:$H,6,FALSE)-VLOOKUP(PA!B12+4,CIMA_H!$A:$H,6,FALSE)))/(1-Param!$E$8-Param!$E$9-Param!$E$10)</f>
        <v>332974.06056277076</v>
      </c>
      <c r="G12" s="28">
        <f>$G$2*((VLOOKUP(PA!B12,CIMA_H!$A:$H,8,FALSE)-VLOOKUP(PA!B12+5,CIMA_H!$A:$H,8,FALSE))/(VLOOKUP(PA!B12,CIMA_H!$A:$H,6,FALSE)-VLOOKUP(PA!B12+5,CIMA_H!$A:$H,6,FALSE)))/(1-Param!$E$8-Param!$E$9-Param!$E$10)</f>
        <v>337077.45504733367</v>
      </c>
      <c r="H12" s="21"/>
    </row>
    <row r="13" spans="2:9" x14ac:dyDescent="0.3">
      <c r="B13" s="24">
        <v>27</v>
      </c>
      <c r="C13" s="27">
        <f>$G$2*((VLOOKUP(PA!B13,CIMA_H!$A:$H,8,FALSE)-VLOOKUP(PA!B13+1,CIMA_H!$A:$H,8,FALSE))/(VLOOKUP(PA!B13,CIMA_H!$A:$H,6,FALSE)-VLOOKUP(PA!B13+1,CIMA_H!$A:$H,6,FALSE)))/(1-Param!$E$8-Param!$E$9-Param!$E$10)</f>
        <v>329047.83790962648</v>
      </c>
      <c r="D13" s="27">
        <f>$G$2*((VLOOKUP(PA!B13,CIMA_H!$A:$H,8,FALSE)-VLOOKUP(PA!B13+2,CIMA_H!$A:$H,8,FALSE))/(VLOOKUP(PA!B13,CIMA_H!$A:$H,6,FALSE)-VLOOKUP(PA!B13+2,CIMA_H!$A:$H,6,FALSE)))/(1-Param!$E$8-Param!$E$9-Param!$E$10)</f>
        <v>333131.64569679269</v>
      </c>
      <c r="E13" s="27">
        <f>$G$2*((VLOOKUP(PA!B13,CIMA_H!$A:$H,8,FALSE)-VLOOKUP(PA!B13+3,CIMA_H!$A:$H,8,FALSE))/(VLOOKUP(PA!B13,CIMA_H!$A:$H,6,FALSE)-VLOOKUP(PA!B13+3,CIMA_H!$A:$H,6,FALSE)))/(1-Param!$E$8-Param!$E$9-Param!$E$10)</f>
        <v>337475.27702005772</v>
      </c>
      <c r="F13" s="27">
        <f>$G$2*((VLOOKUP(PA!B13,CIMA_H!$A:$H,8,FALSE)-VLOOKUP(PA!B13+4,CIMA_H!$A:$H,8,FALSE))/(VLOOKUP(PA!B13,CIMA_H!$A:$H,6,FALSE)-VLOOKUP(PA!B13+4,CIMA_H!$A:$H,6,FALSE)))/(1-Param!$E$8-Param!$E$9-Param!$E$10)</f>
        <v>341636.14272024069</v>
      </c>
      <c r="G13" s="28">
        <f>$G$2*((VLOOKUP(PA!B13,CIMA_H!$A:$H,8,FALSE)-VLOOKUP(PA!B13+5,CIMA_H!$A:$H,8,FALSE))/(VLOOKUP(PA!B13,CIMA_H!$A:$H,6,FALSE)-VLOOKUP(PA!B13+5,CIMA_H!$A:$H,6,FALSE)))/(1-Param!$E$8-Param!$E$9-Param!$E$10)</f>
        <v>345530.84009749792</v>
      </c>
      <c r="H13" s="21"/>
    </row>
    <row r="14" spans="2:9" x14ac:dyDescent="0.3">
      <c r="B14" s="24">
        <v>28</v>
      </c>
      <c r="C14" s="27">
        <f>$G$2*((VLOOKUP(PA!B14,CIMA_H!$A:$H,8,FALSE)-VLOOKUP(PA!B14+1,CIMA_H!$A:$H,8,FALSE))/(VLOOKUP(PA!B14,CIMA_H!$A:$H,6,FALSE)-VLOOKUP(PA!B14+1,CIMA_H!$A:$H,6,FALSE)))/(1-Param!$E$8-Param!$E$9-Param!$E$10)</f>
        <v>337366.21273139567</v>
      </c>
      <c r="D14" s="27">
        <f>$G$2*((VLOOKUP(PA!B14,CIMA_H!$A:$H,8,FALSE)-VLOOKUP(PA!B14+2,CIMA_H!$A:$H,8,FALSE))/(VLOOKUP(PA!B14,CIMA_H!$A:$H,6,FALSE)-VLOOKUP(PA!B14+2,CIMA_H!$A:$H,6,FALSE)))/(1-Param!$E$8-Param!$E$9-Param!$E$10)</f>
        <v>341923.84108546481</v>
      </c>
      <c r="E14" s="27">
        <f>$G$2*((VLOOKUP(PA!B14,CIMA_H!$A:$H,8,FALSE)-VLOOKUP(PA!B14+3,CIMA_H!$A:$H,8,FALSE))/(VLOOKUP(PA!B14,CIMA_H!$A:$H,6,FALSE)-VLOOKUP(PA!B14+3,CIMA_H!$A:$H,6,FALSE)))/(1-Param!$E$8-Param!$E$9-Param!$E$10)</f>
        <v>346146.07830587373</v>
      </c>
      <c r="F14" s="27">
        <f>$G$2*((VLOOKUP(PA!B14,CIMA_H!$A:$H,8,FALSE)-VLOOKUP(PA!B14+4,CIMA_H!$A:$H,8,FALSE))/(VLOOKUP(PA!B14,CIMA_H!$A:$H,6,FALSE)-VLOOKUP(PA!B14+4,CIMA_H!$A:$H,6,FALSE)))/(1-Param!$E$8-Param!$E$9-Param!$E$10)</f>
        <v>350039.31565626315</v>
      </c>
      <c r="G14" s="28">
        <f>$G$2*((VLOOKUP(PA!B14,CIMA_H!$A:$H,8,FALSE)-VLOOKUP(PA!B14+5,CIMA_H!$A:$H,8,FALSE))/(VLOOKUP(PA!B14,CIMA_H!$A:$H,6,FALSE)-VLOOKUP(PA!B14+5,CIMA_H!$A:$H,6,FALSE)))/(1-Param!$E$8-Param!$E$9-Param!$E$10)</f>
        <v>354709.36358502979</v>
      </c>
      <c r="H14" s="21"/>
    </row>
    <row r="15" spans="2:9" x14ac:dyDescent="0.3">
      <c r="B15" s="24">
        <v>29</v>
      </c>
      <c r="C15" s="27">
        <f>$G$2*((VLOOKUP(PA!B15,CIMA_H!$A:$H,8,FALSE)-VLOOKUP(PA!B15+1,CIMA_H!$A:$H,8,FALSE))/(VLOOKUP(PA!B15,CIMA_H!$A:$H,6,FALSE)-VLOOKUP(PA!B15+1,CIMA_H!$A:$H,6,FALSE)))/(1-Param!$E$8-Param!$E$9-Param!$E$10)</f>
        <v>346649.94162467931</v>
      </c>
      <c r="D15" s="27">
        <f>$G$2*((VLOOKUP(PA!B15,CIMA_H!$A:$H,8,FALSE)-VLOOKUP(PA!B15+2,CIMA_H!$A:$H,8,FALSE))/(VLOOKUP(PA!B15,CIMA_H!$A:$H,6,FALSE)-VLOOKUP(PA!B15+2,CIMA_H!$A:$H,6,FALSE)))/(1-Param!$E$8-Param!$E$9-Param!$E$10)</f>
        <v>350781.01236251113</v>
      </c>
      <c r="E15" s="27">
        <f>$G$2*((VLOOKUP(PA!B15,CIMA_H!$A:$H,8,FALSE)-VLOOKUP(PA!B15+3,CIMA_H!$A:$H,8,FALSE))/(VLOOKUP(PA!B15,CIMA_H!$A:$H,6,FALSE)-VLOOKUP(PA!B15+3,CIMA_H!$A:$H,6,FALSE)))/(1-Param!$E$8-Param!$E$9-Param!$E$10)</f>
        <v>354580.06821858505</v>
      </c>
      <c r="F15" s="27">
        <f>$G$2*((VLOOKUP(PA!B15,CIMA_H!$A:$H,8,FALSE)-VLOOKUP(PA!B15+4,CIMA_H!$A:$H,8,FALSE))/(VLOOKUP(PA!B15,CIMA_H!$A:$H,6,FALSE)-VLOOKUP(PA!B15+4,CIMA_H!$A:$H,6,FALSE)))/(1-Param!$E$8-Param!$E$9-Param!$E$10)</f>
        <v>359453.66973356326</v>
      </c>
      <c r="G15" s="28">
        <f>$G$2*((VLOOKUP(PA!B15,CIMA_H!$A:$H,8,FALSE)-VLOOKUP(PA!B15+5,CIMA_H!$A:$H,8,FALSE))/(VLOOKUP(PA!B15,CIMA_H!$A:$H,6,FALSE)-VLOOKUP(PA!B15+5,CIMA_H!$A:$H,6,FALSE)))/(1-Param!$E$8-Param!$E$9-Param!$E$10)</f>
        <v>365620.4783378588</v>
      </c>
      <c r="H15" s="21"/>
    </row>
    <row r="16" spans="2:9" x14ac:dyDescent="0.3">
      <c r="B16" s="24">
        <v>30</v>
      </c>
      <c r="C16" s="27">
        <f>$G$2*((VLOOKUP(PA!B16,CIMA_H!$A:$H,8,FALSE)-VLOOKUP(PA!B16+1,CIMA_H!$A:$H,8,FALSE))/(VLOOKUP(PA!B16,CIMA_H!$A:$H,6,FALSE)-VLOOKUP(PA!B16+1,CIMA_H!$A:$H,6,FALSE)))/(1-Param!$E$8-Param!$E$9-Param!$E$10)</f>
        <v>355065.0114373996</v>
      </c>
      <c r="D16" s="27">
        <f>$G$2*((VLOOKUP(PA!B16,CIMA_H!$A:$H,8,FALSE)-VLOOKUP(PA!B16+2,CIMA_H!$A:$H,8,FALSE))/(VLOOKUP(PA!B16,CIMA_H!$A:$H,6,FALSE)-VLOOKUP(PA!B16+2,CIMA_H!$A:$H,6,FALSE)))/(1-Param!$E$8-Param!$E$9-Param!$E$10)</f>
        <v>358766.73694731441</v>
      </c>
      <c r="E16" s="27">
        <f>$G$2*((VLOOKUP(PA!B16,CIMA_H!$A:$H,8,FALSE)-VLOOKUP(PA!B16+3,CIMA_H!$A:$H,8,FALSE))/(VLOOKUP(PA!B16,CIMA_H!$A:$H,6,FALSE)-VLOOKUP(PA!B16+3,CIMA_H!$A:$H,6,FALSE)))/(1-Param!$E$8-Param!$E$9-Param!$E$10)</f>
        <v>364041.66951303766</v>
      </c>
      <c r="F16" s="27">
        <f>$G$2*((VLOOKUP(PA!B16,CIMA_H!$A:$H,8,FALSE)-VLOOKUP(PA!B16+4,CIMA_H!$A:$H,8,FALSE))/(VLOOKUP(PA!B16,CIMA_H!$A:$H,6,FALSE)-VLOOKUP(PA!B16+4,CIMA_H!$A:$H,6,FALSE)))/(1-Param!$E$8-Param!$E$9-Param!$E$10)</f>
        <v>370810.60916043277</v>
      </c>
      <c r="G16" s="28">
        <f>$G$2*((VLOOKUP(PA!B16,CIMA_H!$A:$H,8,FALSE)-VLOOKUP(PA!B16+5,CIMA_H!$A:$H,8,FALSE))/(VLOOKUP(PA!B16,CIMA_H!$A:$H,6,FALSE)-VLOOKUP(PA!B16+5,CIMA_H!$A:$H,6,FALSE)))/(1-Param!$E$8-Param!$E$9-Param!$E$10)</f>
        <v>379375.65930227726</v>
      </c>
      <c r="H16" s="21"/>
      <c r="I16" s="29"/>
    </row>
    <row r="17" spans="2:8" x14ac:dyDescent="0.3">
      <c r="B17" s="24">
        <v>31</v>
      </c>
      <c r="C17" s="27">
        <f>$G$2*((VLOOKUP(PA!B17,CIMA_H!$A:$H,8,FALSE)-VLOOKUP(PA!B17+1,CIMA_H!$A:$H,8,FALSE))/(VLOOKUP(PA!B17,CIMA_H!$A:$H,6,FALSE)-VLOOKUP(PA!B17+1,CIMA_H!$A:$H,6,FALSE)))/(1-Param!$E$8-Param!$E$9-Param!$E$10)</f>
        <v>362605.67863616173</v>
      </c>
      <c r="D17" s="27">
        <f>$G$2*((VLOOKUP(PA!B17,CIMA_H!$A:$H,8,FALSE)-VLOOKUP(PA!B17+2,CIMA_H!$A:$H,8,FALSE))/(VLOOKUP(PA!B17,CIMA_H!$A:$H,6,FALSE)-VLOOKUP(PA!B17+2,CIMA_H!$A:$H,6,FALSE)))/(1-Param!$E$8-Param!$E$9-Param!$E$10)</f>
        <v>368781.17222145549</v>
      </c>
      <c r="E17" s="27">
        <f>$G$2*((VLOOKUP(PA!B17,CIMA_H!$A:$H,8,FALSE)-VLOOKUP(PA!B17+3,CIMA_H!$A:$H,8,FALSE))/(VLOOKUP(PA!B17,CIMA_H!$A:$H,6,FALSE)-VLOOKUP(PA!B17+3,CIMA_H!$A:$H,6,FALSE)))/(1-Param!$E$8-Param!$E$9-Param!$E$10)</f>
        <v>376453.33050902875</v>
      </c>
      <c r="F17" s="27">
        <f>$G$2*((VLOOKUP(PA!B17,CIMA_H!$A:$H,8,FALSE)-VLOOKUP(PA!B17+4,CIMA_H!$A:$H,8,FALSE))/(VLOOKUP(PA!B17,CIMA_H!$A:$H,6,FALSE)-VLOOKUP(PA!B17+4,CIMA_H!$A:$H,6,FALSE)))/(1-Param!$E$8-Param!$E$9-Param!$E$10)</f>
        <v>386027.6904192256</v>
      </c>
      <c r="G17" s="28">
        <f>$G$2*((VLOOKUP(PA!B17,CIMA_H!$A:$H,8,FALSE)-VLOOKUP(PA!B17+5,CIMA_H!$A:$H,8,FALSE))/(VLOOKUP(PA!B17,CIMA_H!$A:$H,6,FALSE)-VLOOKUP(PA!B17+5,CIMA_H!$A:$H,6,FALSE)))/(1-Param!$E$8-Param!$E$9-Param!$E$10)</f>
        <v>396234.68845852098</v>
      </c>
      <c r="H17" s="21"/>
    </row>
    <row r="18" spans="2:8" x14ac:dyDescent="0.3">
      <c r="B18" s="24">
        <v>32</v>
      </c>
      <c r="C18" s="27">
        <f>$G$2*((VLOOKUP(PA!B18,CIMA_H!$A:$H,8,FALSE)-VLOOKUP(PA!B18+1,CIMA_H!$A:$H,8,FALSE))/(VLOOKUP(PA!B18,CIMA_H!$A:$H,6,FALSE)-VLOOKUP(PA!B18+1,CIMA_H!$A:$H,6,FALSE)))/(1-Param!$E$8-Param!$E$9-Param!$E$10)</f>
        <v>375185.85183043499</v>
      </c>
      <c r="D18" s="27">
        <f>$G$2*((VLOOKUP(PA!B18,CIMA_H!$A:$H,8,FALSE)-VLOOKUP(PA!B18+2,CIMA_H!$A:$H,8,FALSE))/(VLOOKUP(PA!B18,CIMA_H!$A:$H,6,FALSE)-VLOOKUP(PA!B18+2,CIMA_H!$A:$H,6,FALSE)))/(1-Param!$E$8-Param!$E$9-Param!$E$10)</f>
        <v>383765.18861411506</v>
      </c>
      <c r="E18" s="27">
        <f>$G$2*((VLOOKUP(PA!B18,CIMA_H!$A:$H,8,FALSE)-VLOOKUP(PA!B18+3,CIMA_H!$A:$H,8,FALSE))/(VLOOKUP(PA!B18,CIMA_H!$A:$H,6,FALSE)-VLOOKUP(PA!B18+3,CIMA_H!$A:$H,6,FALSE)))/(1-Param!$E$8-Param!$E$9-Param!$E$10)</f>
        <v>394422.4048382375</v>
      </c>
      <c r="F18" s="27">
        <f>$G$2*((VLOOKUP(PA!B18,CIMA_H!$A:$H,8,FALSE)-VLOOKUP(PA!B18+4,CIMA_H!$A:$H,8,FALSE))/(VLOOKUP(PA!B18,CIMA_H!$A:$H,6,FALSE)-VLOOKUP(PA!B18+4,CIMA_H!$A:$H,6,FALSE)))/(1-Param!$E$8-Param!$E$9-Param!$E$10)</f>
        <v>405438.07160251576</v>
      </c>
      <c r="G18" s="28">
        <f>$G$2*((VLOOKUP(PA!B18,CIMA_H!$A:$H,8,FALSE)-VLOOKUP(PA!B18+5,CIMA_H!$A:$H,8,FALSE))/(VLOOKUP(PA!B18,CIMA_H!$A:$H,6,FALSE)-VLOOKUP(PA!B18+5,CIMA_H!$A:$H,6,FALSE)))/(1-Param!$E$8-Param!$E$9-Param!$E$10)</f>
        <v>417371.45036097895</v>
      </c>
      <c r="H18" s="21"/>
    </row>
    <row r="19" spans="2:8" x14ac:dyDescent="0.3">
      <c r="B19" s="24">
        <v>33</v>
      </c>
      <c r="C19" s="27">
        <f>$G$2*((VLOOKUP(PA!B19,CIMA_H!$A:$H,8,FALSE)-VLOOKUP(PA!B19+1,CIMA_H!$A:$H,8,FALSE))/(VLOOKUP(PA!B19,CIMA_H!$A:$H,6,FALSE)-VLOOKUP(PA!B19+1,CIMA_H!$A:$H,6,FALSE)))/(1-Param!$E$8-Param!$E$9-Param!$E$10)</f>
        <v>392663.55329816067</v>
      </c>
      <c r="D19" s="27">
        <f>$G$2*((VLOOKUP(PA!B19,CIMA_H!$A:$H,8,FALSE)-VLOOKUP(PA!B19+2,CIMA_H!$A:$H,8,FALSE))/(VLOOKUP(PA!B19,CIMA_H!$A:$H,6,FALSE)-VLOOKUP(PA!B19+2,CIMA_H!$A:$H,6,FALSE)))/(1-Param!$E$8-Param!$E$9-Param!$E$10)</f>
        <v>404580.92841837351</v>
      </c>
      <c r="E19" s="27">
        <f>$G$2*((VLOOKUP(PA!B19,CIMA_H!$A:$H,8,FALSE)-VLOOKUP(PA!B19+3,CIMA_H!$A:$H,8,FALSE))/(VLOOKUP(PA!B19,CIMA_H!$A:$H,6,FALSE)-VLOOKUP(PA!B19+3,CIMA_H!$A:$H,6,FALSE)))/(1-Param!$E$8-Param!$E$9-Param!$E$10)</f>
        <v>416282.7518634061</v>
      </c>
      <c r="F19" s="27">
        <f>$G$2*((VLOOKUP(PA!B19,CIMA_H!$A:$H,8,FALSE)-VLOOKUP(PA!B19+4,CIMA_H!$A:$H,8,FALSE))/(VLOOKUP(PA!B19,CIMA_H!$A:$H,6,FALSE)-VLOOKUP(PA!B19+4,CIMA_H!$A:$H,6,FALSE)))/(1-Param!$E$8-Param!$E$9-Param!$E$10)</f>
        <v>428919.33248098695</v>
      </c>
      <c r="G19" s="28">
        <f>$G$2*((VLOOKUP(PA!B19,CIMA_H!$A:$H,8,FALSE)-VLOOKUP(PA!B19+5,CIMA_H!$A:$H,8,FALSE))/(VLOOKUP(PA!B19,CIMA_H!$A:$H,6,FALSE)-VLOOKUP(PA!B19+5,CIMA_H!$A:$H,6,FALSE)))/(1-Param!$E$8-Param!$E$9-Param!$E$10)</f>
        <v>442106.42695642862</v>
      </c>
      <c r="H19" s="21"/>
    </row>
    <row r="20" spans="2:8" x14ac:dyDescent="0.3">
      <c r="B20" s="24">
        <v>34</v>
      </c>
      <c r="C20" s="27">
        <f>$G$2*((VLOOKUP(PA!B20,CIMA_H!$A:$H,8,FALSE)-VLOOKUP(PA!B20+1,CIMA_H!$A:$H,8,FALSE))/(VLOOKUP(PA!B20,CIMA_H!$A:$H,6,FALSE)-VLOOKUP(PA!B20+1,CIMA_H!$A:$H,6,FALSE)))/(1-Param!$E$8-Param!$E$9-Param!$E$10)</f>
        <v>416942.67448970792</v>
      </c>
      <c r="D20" s="27">
        <f>$G$2*((VLOOKUP(PA!B20,CIMA_H!$A:$H,8,FALSE)-VLOOKUP(PA!B20+2,CIMA_H!$A:$H,8,FALSE))/(VLOOKUP(PA!B20,CIMA_H!$A:$H,6,FALSE)-VLOOKUP(PA!B20+2,CIMA_H!$A:$H,6,FALSE)))/(1-Param!$E$8-Param!$E$9-Param!$E$10)</f>
        <v>428757.74616027385</v>
      </c>
      <c r="E20" s="27">
        <f>$G$2*((VLOOKUP(PA!B20,CIMA_H!$A:$H,8,FALSE)-VLOOKUP(PA!B20+3,CIMA_H!$A:$H,8,FALSE))/(VLOOKUP(PA!B20,CIMA_H!$A:$H,6,FALSE)-VLOOKUP(PA!B20+3,CIMA_H!$A:$H,6,FALSE)))/(1-Param!$E$8-Param!$E$9-Param!$E$10)</f>
        <v>441919.14882853994</v>
      </c>
      <c r="F20" s="27">
        <f>$G$2*((VLOOKUP(PA!B20,CIMA_H!$A:$H,8,FALSE)-VLOOKUP(PA!B20+4,CIMA_H!$A:$H,8,FALSE))/(VLOOKUP(PA!B20,CIMA_H!$A:$H,6,FALSE)-VLOOKUP(PA!B20+4,CIMA_H!$A:$H,6,FALSE)))/(1-Param!$E$8-Param!$E$9-Param!$E$10)</f>
        <v>455645.00948290585</v>
      </c>
      <c r="G20" s="28">
        <f>$G$2*((VLOOKUP(PA!B20,CIMA_H!$A:$H,8,FALSE)-VLOOKUP(PA!B20+5,CIMA_H!$A:$H,8,FALSE))/(VLOOKUP(PA!B20,CIMA_H!$A:$H,6,FALSE)-VLOOKUP(PA!B20+5,CIMA_H!$A:$H,6,FALSE)))/(1-Param!$E$8-Param!$E$9-Param!$E$10)</f>
        <v>470329.5150799026</v>
      </c>
      <c r="H20" s="21"/>
    </row>
    <row r="21" spans="2:8" x14ac:dyDescent="0.3">
      <c r="B21" s="24">
        <v>35</v>
      </c>
      <c r="C21" s="27">
        <f>$G$2*((VLOOKUP(PA!B21,CIMA_H!$A:$H,8,FALSE)-VLOOKUP(PA!B21+1,CIMA_H!$A:$H,8,FALSE))/(VLOOKUP(PA!B21,CIMA_H!$A:$H,6,FALSE)-VLOOKUP(PA!B21+1,CIMA_H!$A:$H,6,FALSE)))/(1-Param!$E$8-Param!$E$9-Param!$E$10)</f>
        <v>441015.04928968369</v>
      </c>
      <c r="D21" s="27">
        <f>$G$2*((VLOOKUP(PA!B21,CIMA_H!$A:$H,8,FALSE)-VLOOKUP(PA!B21+2,CIMA_H!$A:$H,8,FALSE))/(VLOOKUP(PA!B21,CIMA_H!$A:$H,6,FALSE)-VLOOKUP(PA!B21+2,CIMA_H!$A:$H,6,FALSE)))/(1-Param!$E$8-Param!$E$9-Param!$E$10)</f>
        <v>455113.69867518242</v>
      </c>
      <c r="E21" s="27">
        <f>$G$2*((VLOOKUP(PA!B21,CIMA_H!$A:$H,8,FALSE)-VLOOKUP(PA!B21+3,CIMA_H!$A:$H,8,FALSE))/(VLOOKUP(PA!B21,CIMA_H!$A:$H,6,FALSE)-VLOOKUP(PA!B21+3,CIMA_H!$A:$H,6,FALSE)))/(1-Param!$E$8-Param!$E$9-Param!$E$10)</f>
        <v>469525.90771063743</v>
      </c>
      <c r="F21" s="27">
        <f>$G$2*((VLOOKUP(PA!B21,CIMA_H!$A:$H,8,FALSE)-VLOOKUP(PA!B21+4,CIMA_H!$A:$H,8,FALSE))/(VLOOKUP(PA!B21,CIMA_H!$A:$H,6,FALSE)-VLOOKUP(PA!B21+4,CIMA_H!$A:$H,6,FALSE)))/(1-Param!$E$8-Param!$E$9-Param!$E$10)</f>
        <v>484953.22980313393</v>
      </c>
      <c r="G21" s="28">
        <f>$G$2*((VLOOKUP(PA!B21,CIMA_H!$A:$H,8,FALSE)-VLOOKUP(PA!B21+5,CIMA_H!$A:$H,8,FALSE))/(VLOOKUP(PA!B21,CIMA_H!$A:$H,6,FALSE)-VLOOKUP(PA!B21+5,CIMA_H!$A:$H,6,FALSE)))/(1-Param!$E$8-Param!$E$9-Param!$E$10)</f>
        <v>501758.36110696534</v>
      </c>
      <c r="H21" s="21"/>
    </row>
    <row r="22" spans="2:8" x14ac:dyDescent="0.3">
      <c r="B22" s="24">
        <v>36</v>
      </c>
      <c r="C22" s="27">
        <f>$G$2*((VLOOKUP(PA!B22,CIMA_H!$A:$H,8,FALSE)-VLOOKUP(PA!B22+1,CIMA_H!$A:$H,8,FALSE))/(VLOOKUP(PA!B22,CIMA_H!$A:$H,6,FALSE)-VLOOKUP(PA!B22+1,CIMA_H!$A:$H,6,FALSE)))/(1-Param!$E$8-Param!$E$9-Param!$E$10)</f>
        <v>469742.03499461751</v>
      </c>
      <c r="D22" s="27">
        <f>$G$2*((VLOOKUP(PA!B22,CIMA_H!$A:$H,8,FALSE)-VLOOKUP(PA!B22+2,CIMA_H!$A:$H,8,FALSE))/(VLOOKUP(PA!B22,CIMA_H!$A:$H,6,FALSE)-VLOOKUP(PA!B22+2,CIMA_H!$A:$H,6,FALSE)))/(1-Param!$E$8-Param!$E$9-Param!$E$10)</f>
        <v>484590.83621342614</v>
      </c>
      <c r="E22" s="27">
        <f>$G$2*((VLOOKUP(PA!B22,CIMA_H!$A:$H,8,FALSE)-VLOOKUP(PA!B22+3,CIMA_H!$A:$H,8,FALSE))/(VLOOKUP(PA!B22,CIMA_H!$A:$H,6,FALSE)-VLOOKUP(PA!B22+3,CIMA_H!$A:$H,6,FALSE)))/(1-Param!$E$8-Param!$E$9-Param!$E$10)</f>
        <v>500716.67184809409</v>
      </c>
      <c r="F22" s="27">
        <f>$G$2*((VLOOKUP(PA!B22,CIMA_H!$A:$H,8,FALSE)-VLOOKUP(PA!B22+4,CIMA_H!$A:$H,8,FALSE))/(VLOOKUP(PA!B22,CIMA_H!$A:$H,6,FALSE)-VLOOKUP(PA!B22+4,CIMA_H!$A:$H,6,FALSE)))/(1-Param!$E$8-Param!$E$9-Param!$E$10)</f>
        <v>518403.53237284132</v>
      </c>
      <c r="G22" s="28">
        <f>$G$2*((VLOOKUP(PA!B22,CIMA_H!$A:$H,8,FALSE)-VLOOKUP(PA!B22+5,CIMA_H!$A:$H,8,FALSE))/(VLOOKUP(PA!B22,CIMA_H!$A:$H,6,FALSE)-VLOOKUP(PA!B22+5,CIMA_H!$A:$H,6,FALSE)))/(1-Param!$E$8-Param!$E$9-Param!$E$10)</f>
        <v>537715.23493228864</v>
      </c>
      <c r="H22" s="21"/>
    </row>
    <row r="23" spans="2:8" x14ac:dyDescent="0.3">
      <c r="B23" s="24">
        <v>37</v>
      </c>
      <c r="C23" s="27">
        <f>$G$2*((VLOOKUP(PA!B23,CIMA_H!$A:$H,8,FALSE)-VLOOKUP(PA!B23+1,CIMA_H!$A:$H,8,FALSE))/(VLOOKUP(PA!B23,CIMA_H!$A:$H,6,FALSE)-VLOOKUP(PA!B23+1,CIMA_H!$A:$H,6,FALSE)))/(1-Param!$E$8-Param!$E$9-Param!$E$10)</f>
        <v>500000.00000000006</v>
      </c>
      <c r="D23" s="27">
        <f>$G$2*((VLOOKUP(PA!B23,CIMA_H!$A:$H,8,FALSE)-VLOOKUP(PA!B23+2,CIMA_H!$A:$H,8,FALSE))/(VLOOKUP(PA!B23,CIMA_H!$A:$H,6,FALSE)-VLOOKUP(PA!B23+2,CIMA_H!$A:$H,6,FALSE)))/(1-Param!$E$8-Param!$E$9-Param!$E$10)</f>
        <v>517087.45944052463</v>
      </c>
      <c r="E23" s="27">
        <f>$G$2*((VLOOKUP(PA!B23,CIMA_H!$A:$H,8,FALSE)-VLOOKUP(PA!B23+3,CIMA_H!$A:$H,8,FALSE))/(VLOOKUP(PA!B23,CIMA_H!$A:$H,6,FALSE)-VLOOKUP(PA!B23+3,CIMA_H!$A:$H,6,FALSE)))/(1-Param!$E$8-Param!$E$9-Param!$E$10)</f>
        <v>535867.40145571379</v>
      </c>
      <c r="F23" s="27">
        <f>$G$2*((VLOOKUP(PA!B23,CIMA_H!$A:$H,8,FALSE)-VLOOKUP(PA!B23+4,CIMA_H!$A:$H,8,FALSE))/(VLOOKUP(PA!B23,CIMA_H!$A:$H,6,FALSE)-VLOOKUP(PA!B23+4,CIMA_H!$A:$H,6,FALSE)))/(1-Param!$E$8-Param!$E$9-Param!$E$10)</f>
        <v>556349.69424575183</v>
      </c>
      <c r="G23" s="28">
        <f>$G$2*((VLOOKUP(PA!B23,CIMA_H!$A:$H,8,FALSE)-VLOOKUP(PA!B23+5,CIMA_H!$A:$H,8,FALSE))/(VLOOKUP(PA!B23,CIMA_H!$A:$H,6,FALSE)-VLOOKUP(PA!B23+5,CIMA_H!$A:$H,6,FALSE)))/(1-Param!$E$8-Param!$E$9-Param!$E$10)</f>
        <v>579140.51383363816</v>
      </c>
      <c r="H23" s="21"/>
    </row>
    <row r="24" spans="2:8" x14ac:dyDescent="0.3">
      <c r="B24" s="24">
        <v>38</v>
      </c>
      <c r="C24" s="27">
        <f>$G$2*((VLOOKUP(PA!B24,CIMA_H!$A:$H,8,FALSE)-VLOOKUP(PA!B24+1,CIMA_H!$A:$H,8,FALSE))/(VLOOKUP(PA!B24,CIMA_H!$A:$H,6,FALSE)-VLOOKUP(PA!B24+1,CIMA_H!$A:$H,6,FALSE)))/(1-Param!$E$8-Param!$E$9-Param!$E$10)</f>
        <v>534822.78572280484</v>
      </c>
      <c r="D24" s="27">
        <f>$G$2*((VLOOKUP(PA!B24,CIMA_H!$A:$H,8,FALSE)-VLOOKUP(PA!B24+2,CIMA_H!$A:$H,8,FALSE))/(VLOOKUP(PA!B24,CIMA_H!$A:$H,6,FALSE)-VLOOKUP(PA!B24+2,CIMA_H!$A:$H,6,FALSE)))/(1-Param!$E$8-Param!$E$9-Param!$E$10)</f>
        <v>554829.18007592694</v>
      </c>
      <c r="E24" s="27">
        <f>$G$2*((VLOOKUP(PA!B24,CIMA_H!$A:$H,8,FALSE)-VLOOKUP(PA!B24+3,CIMA_H!$A:$H,8,FALSE))/(VLOOKUP(PA!B24,CIMA_H!$A:$H,6,FALSE)-VLOOKUP(PA!B24+3,CIMA_H!$A:$H,6,FALSE)))/(1-Param!$E$8-Param!$E$9-Param!$E$10)</f>
        <v>576580.27335555281</v>
      </c>
      <c r="F24" s="27">
        <f>$G$2*((VLOOKUP(PA!B24,CIMA_H!$A:$H,8,FALSE)-VLOOKUP(PA!B24+4,CIMA_H!$A:$H,8,FALSE))/(VLOOKUP(PA!B24,CIMA_H!$A:$H,6,FALSE)-VLOOKUP(PA!B24+4,CIMA_H!$A:$H,6,FALSE)))/(1-Param!$E$8-Param!$E$9-Param!$E$10)</f>
        <v>600847.01439069037</v>
      </c>
      <c r="G24" s="28">
        <f>$G$2*((VLOOKUP(PA!B24,CIMA_H!$A:$H,8,FALSE)-VLOOKUP(PA!B24+5,CIMA_H!$A:$H,8,FALSE))/(VLOOKUP(PA!B24,CIMA_H!$A:$H,6,FALSE)-VLOOKUP(PA!B24+5,CIMA_H!$A:$H,6,FALSE)))/(1-Param!$E$8-Param!$E$9-Param!$E$10)</f>
        <v>626190.69890396518</v>
      </c>
      <c r="H24" s="21"/>
    </row>
    <row r="25" spans="2:8" x14ac:dyDescent="0.3">
      <c r="B25" s="24">
        <v>39</v>
      </c>
      <c r="C25" s="27">
        <f>$G$2*((VLOOKUP(PA!B25,CIMA_H!$A:$H,8,FALSE)-VLOOKUP(PA!B25+1,CIMA_H!$A:$H,8,FALSE))/(VLOOKUP(PA!B25,CIMA_H!$A:$H,6,FALSE)-VLOOKUP(PA!B25+1,CIMA_H!$A:$H,6,FALSE)))/(1-Param!$E$8-Param!$E$9-Param!$E$10)</f>
        <v>575598.18550369481</v>
      </c>
      <c r="D25" s="27">
        <f>$G$2*((VLOOKUP(PA!B25,CIMA_H!$A:$H,8,FALSE)-VLOOKUP(PA!B25+2,CIMA_H!$A:$H,8,FALSE))/(VLOOKUP(PA!B25,CIMA_H!$A:$H,6,FALSE)-VLOOKUP(PA!B25+2,CIMA_H!$A:$H,6,FALSE)))/(1-Param!$E$8-Param!$E$9-Param!$E$10)</f>
        <v>598662.7438173946</v>
      </c>
      <c r="E25" s="27">
        <f>$G$2*((VLOOKUP(PA!B25,CIMA_H!$A:$H,8,FALSE)-VLOOKUP(PA!B25+3,CIMA_H!$A:$H,8,FALSE))/(VLOOKUP(PA!B25,CIMA_H!$A:$H,6,FALSE)-VLOOKUP(PA!B25+3,CIMA_H!$A:$H,6,FALSE)))/(1-Param!$E$8-Param!$E$9-Param!$E$10)</f>
        <v>624561.15831757686</v>
      </c>
      <c r="F25" s="27">
        <f>$G$2*((VLOOKUP(PA!B25,CIMA_H!$A:$H,8,FALSE)-VLOOKUP(PA!B25+4,CIMA_H!$A:$H,8,FALSE))/(VLOOKUP(PA!B25,CIMA_H!$A:$H,6,FALSE)-VLOOKUP(PA!B25+4,CIMA_H!$A:$H,6,FALSE)))/(1-Param!$E$8-Param!$E$9-Param!$E$10)</f>
        <v>651265.14839755977</v>
      </c>
      <c r="G25" s="28">
        <f>$G$2*((VLOOKUP(PA!B25,CIMA_H!$A:$H,8,FALSE)-VLOOKUP(PA!B25+5,CIMA_H!$A:$H,8,FALSE))/(VLOOKUP(PA!B25,CIMA_H!$A:$H,6,FALSE)-VLOOKUP(PA!B25+5,CIMA_H!$A:$H,6,FALSE)))/(1-Param!$E$8-Param!$E$9-Param!$E$10)</f>
        <v>679039.42658022745</v>
      </c>
      <c r="H25" s="21"/>
    </row>
    <row r="26" spans="2:8" x14ac:dyDescent="0.3">
      <c r="B26" s="24">
        <v>40</v>
      </c>
      <c r="C26" s="27">
        <f>$G$2*((VLOOKUP(PA!B26,CIMA_H!$A:$H,8,FALSE)-VLOOKUP(PA!B26+1,CIMA_H!$A:$H,8,FALSE))/(VLOOKUP(PA!B26,CIMA_H!$A:$H,6,FALSE)-VLOOKUP(PA!B26+1,CIMA_H!$A:$H,6,FALSE)))/(1-Param!$E$8-Param!$E$9-Param!$E$10)</f>
        <v>622611.98674114945</v>
      </c>
      <c r="D26" s="27">
        <f>$G$2*((VLOOKUP(PA!B26,CIMA_H!$A:$H,8,FALSE)-VLOOKUP(PA!B26+2,CIMA_H!$A:$H,8,FALSE))/(VLOOKUP(PA!B26,CIMA_H!$A:$H,6,FALSE)-VLOOKUP(PA!B26+2,CIMA_H!$A:$H,6,FALSE)))/(1-Param!$E$8-Param!$E$9-Param!$E$10)</f>
        <v>650463.39656635514</v>
      </c>
      <c r="E26" s="27">
        <f>$G$2*((VLOOKUP(PA!B26,CIMA_H!$A:$H,8,FALSE)-VLOOKUP(PA!B26+3,CIMA_H!$A:$H,8,FALSE))/(VLOOKUP(PA!B26,CIMA_H!$A:$H,6,FALSE)-VLOOKUP(PA!B26+3,CIMA_H!$A:$H,6,FALSE)))/(1-Param!$E$8-Param!$E$9-Param!$E$10)</f>
        <v>678456.45183614339</v>
      </c>
      <c r="F26" s="27">
        <f>$G$2*((VLOOKUP(PA!B26,CIMA_H!$A:$H,8,FALSE)-VLOOKUP(PA!B26+4,CIMA_H!$A:$H,8,FALSE))/(VLOOKUP(PA!B26,CIMA_H!$A:$H,6,FALSE)-VLOOKUP(PA!B26+4,CIMA_H!$A:$H,6,FALSE)))/(1-Param!$E$8-Param!$E$9-Param!$E$10)</f>
        <v>707445.84002853464</v>
      </c>
      <c r="G26" s="28">
        <f>$G$2*((VLOOKUP(PA!B26,CIMA_H!$A:$H,8,FALSE)-VLOOKUP(PA!B26+5,CIMA_H!$A:$H,8,FALSE))/(VLOOKUP(PA!B26,CIMA_H!$A:$H,6,FALSE)-VLOOKUP(PA!B26+5,CIMA_H!$A:$H,6,FALSE)))/(1-Param!$E$8-Param!$E$9-Param!$E$10)</f>
        <v>737159.26761958166</v>
      </c>
      <c r="H26" s="21"/>
    </row>
    <row r="27" spans="2:8" x14ac:dyDescent="0.3">
      <c r="B27" s="24">
        <v>41</v>
      </c>
      <c r="C27" s="27">
        <f>$G$2*((VLOOKUP(PA!B27,CIMA_H!$A:$H,8,FALSE)-VLOOKUP(PA!B27+1,CIMA_H!$A:$H,8,FALSE))/(VLOOKUP(PA!B27,CIMA_H!$A:$H,6,FALSE)-VLOOKUP(PA!B27+1,CIMA_H!$A:$H,6,FALSE)))/(1-Param!$E$8-Param!$E$9-Param!$E$10)</f>
        <v>679390.76292843942</v>
      </c>
      <c r="D27" s="27">
        <f>$G$2*((VLOOKUP(PA!B27,CIMA_H!$A:$H,8,FALSE)-VLOOKUP(PA!B27+2,CIMA_H!$A:$H,8,FALSE))/(VLOOKUP(PA!B27,CIMA_H!$A:$H,6,FALSE)-VLOOKUP(PA!B27+2,CIMA_H!$A:$H,6,FALSE)))/(1-Param!$E$8-Param!$E$9-Param!$E$10)</f>
        <v>708011.58333438716</v>
      </c>
      <c r="E27" s="27">
        <f>$G$2*((VLOOKUP(PA!B27,CIMA_H!$A:$H,8,FALSE)-VLOOKUP(PA!B27+3,CIMA_H!$A:$H,8,FALSE))/(VLOOKUP(PA!B27,CIMA_H!$A:$H,6,FALSE)-VLOOKUP(PA!B27+3,CIMA_H!$A:$H,6,FALSE)))/(1-Param!$E$8-Param!$E$9-Param!$E$10)</f>
        <v>737948.9907232658</v>
      </c>
      <c r="F27" s="27">
        <f>$G$2*((VLOOKUP(PA!B27,CIMA_H!$A:$H,8,FALSE)-VLOOKUP(PA!B27+4,CIMA_H!$A:$H,8,FALSE))/(VLOOKUP(PA!B27,CIMA_H!$A:$H,6,FALSE)-VLOOKUP(PA!B27+4,CIMA_H!$A:$H,6,FALSE)))/(1-Param!$E$8-Param!$E$9-Param!$E$10)</f>
        <v>768638.94239236461</v>
      </c>
      <c r="G27" s="28">
        <f>$G$2*((VLOOKUP(PA!B27,CIMA_H!$A:$H,8,FALSE)-VLOOKUP(PA!B27+5,CIMA_H!$A:$H,8,FALSE))/(VLOOKUP(PA!B27,CIMA_H!$A:$H,6,FALSE)-VLOOKUP(PA!B27+5,CIMA_H!$A:$H,6,FALSE)))/(1-Param!$E$8-Param!$E$9-Param!$E$10)</f>
        <v>800033.80484773603</v>
      </c>
      <c r="H27" s="21"/>
    </row>
    <row r="28" spans="2:8" x14ac:dyDescent="0.3">
      <c r="B28" s="24">
        <v>42</v>
      </c>
      <c r="C28" s="27">
        <f>$G$2*((VLOOKUP(PA!B28,CIMA_H!$A:$H,8,FALSE)-VLOOKUP(PA!B28+1,CIMA_H!$A:$H,8,FALSE))/(VLOOKUP(PA!B28,CIMA_H!$A:$H,6,FALSE)-VLOOKUP(PA!B28+1,CIMA_H!$A:$H,6,FALSE)))/(1-Param!$E$8-Param!$E$9-Param!$E$10)</f>
        <v>737747.60030559415</v>
      </c>
      <c r="D28" s="27">
        <f>$G$2*((VLOOKUP(PA!B28,CIMA_H!$A:$H,8,FALSE)-VLOOKUP(PA!B28+2,CIMA_H!$A:$H,8,FALSE))/(VLOOKUP(PA!B28,CIMA_H!$A:$H,6,FALSE)-VLOOKUP(PA!B28+2,CIMA_H!$A:$H,6,FALSE)))/(1-Param!$E$8-Param!$E$9-Param!$E$10)</f>
        <v>768955.27873908589</v>
      </c>
      <c r="E28" s="27">
        <f>$G$2*((VLOOKUP(PA!B28,CIMA_H!$A:$H,8,FALSE)-VLOOKUP(PA!B28+3,CIMA_H!$A:$H,8,FALSE))/(VLOOKUP(PA!B28,CIMA_H!$A:$H,6,FALSE)-VLOOKUP(PA!B28+3,CIMA_H!$A:$H,6,FALSE)))/(1-Param!$E$8-Param!$E$9-Param!$E$10)</f>
        <v>800750.19789671828</v>
      </c>
      <c r="F28" s="27">
        <f>$G$2*((VLOOKUP(PA!B28,CIMA_H!$A:$H,8,FALSE)-VLOOKUP(PA!B28+4,CIMA_H!$A:$H,8,FALSE))/(VLOOKUP(PA!B28,CIMA_H!$A:$H,6,FALSE)-VLOOKUP(PA!B28+4,CIMA_H!$A:$H,6,FALSE)))/(1-Param!$E$8-Param!$E$9-Param!$E$10)</f>
        <v>833216.01607887307</v>
      </c>
      <c r="G28" s="28">
        <f>$G$2*((VLOOKUP(PA!B28,CIMA_H!$A:$H,8,FALSE)-VLOOKUP(PA!B28+5,CIMA_H!$A:$H,8,FALSE))/(VLOOKUP(PA!B28,CIMA_H!$A:$H,6,FALSE)-VLOOKUP(PA!B28+5,CIMA_H!$A:$H,6,FALSE)))/(1-Param!$E$8-Param!$E$9-Param!$E$10)</f>
        <v>865539.19611844909</v>
      </c>
      <c r="H28" s="21"/>
    </row>
    <row r="29" spans="2:8" x14ac:dyDescent="0.3">
      <c r="B29" s="24">
        <v>43</v>
      </c>
      <c r="C29" s="27">
        <f>$G$2*((VLOOKUP(PA!B29,CIMA_H!$A:$H,8,FALSE)-VLOOKUP(PA!B29+1,CIMA_H!$A:$H,8,FALSE))/(VLOOKUP(PA!B29,CIMA_H!$A:$H,6,FALSE)-VLOOKUP(PA!B29+1,CIMA_H!$A:$H,6,FALSE)))/(1-Param!$E$8-Param!$E$9-Param!$E$10)</f>
        <v>801389.62097497529</v>
      </c>
      <c r="D29" s="27">
        <f>$G$2*((VLOOKUP(PA!B29,CIMA_H!$A:$H,8,FALSE)-VLOOKUP(PA!B29+2,CIMA_H!$A:$H,8,FALSE))/(VLOOKUP(PA!B29,CIMA_H!$A:$H,6,FALSE)-VLOOKUP(PA!B29+2,CIMA_H!$A:$H,6,FALSE)))/(1-Param!$E$8-Param!$E$9-Param!$E$10)</f>
        <v>834126.61156928167</v>
      </c>
      <c r="E29" s="27">
        <f>$G$2*((VLOOKUP(PA!B29,CIMA_H!$A:$H,8,FALSE)-VLOOKUP(PA!B29+3,CIMA_H!$A:$H,8,FALSE))/(VLOOKUP(PA!B29,CIMA_H!$A:$H,6,FALSE)-VLOOKUP(PA!B29+3,CIMA_H!$A:$H,6,FALSE)))/(1-Param!$E$8-Param!$E$9-Param!$E$10)</f>
        <v>867588.81493664451</v>
      </c>
      <c r="F29" s="27">
        <f>$G$2*((VLOOKUP(PA!B29,CIMA_H!$A:$H,8,FALSE)-VLOOKUP(PA!B29+4,CIMA_H!$A:$H,8,FALSE))/(VLOOKUP(PA!B29,CIMA_H!$A:$H,6,FALSE)-VLOOKUP(PA!B29+4,CIMA_H!$A:$H,6,FALSE)))/(1-Param!$E$8-Param!$E$9-Param!$E$10)</f>
        <v>900718.08802579448</v>
      </c>
      <c r="G29" s="28">
        <f>$G$2*((VLOOKUP(PA!B29,CIMA_H!$A:$H,8,FALSE)-VLOOKUP(PA!B29+5,CIMA_H!$A:$H,8,FALSE))/(VLOOKUP(PA!B29,CIMA_H!$A:$H,6,FALSE)-VLOOKUP(PA!B29+5,CIMA_H!$A:$H,6,FALSE)))/(1-Param!$E$8-Param!$E$9-Param!$E$10)</f>
        <v>932954.22198143345</v>
      </c>
      <c r="H29" s="21"/>
    </row>
    <row r="30" spans="2:8" x14ac:dyDescent="0.3">
      <c r="B30" s="24">
        <v>44</v>
      </c>
      <c r="C30" s="27">
        <f>$G$2*((VLOOKUP(PA!B30,CIMA_H!$A:$H,8,FALSE)-VLOOKUP(PA!B30+1,CIMA_H!$A:$H,8,FALSE))/(VLOOKUP(PA!B30,CIMA_H!$A:$H,6,FALSE)-VLOOKUP(PA!B30+1,CIMA_H!$A:$H,6,FALSE)))/(1-Param!$E$8-Param!$E$9-Param!$E$10)</f>
        <v>868162.59459180059</v>
      </c>
      <c r="D30" s="27">
        <f>$G$2*((VLOOKUP(PA!B30,CIMA_H!$A:$H,8,FALSE)-VLOOKUP(PA!B30+2,CIMA_H!$A:$H,8,FALSE))/(VLOOKUP(PA!B30,CIMA_H!$A:$H,6,FALSE)-VLOOKUP(PA!B30+2,CIMA_H!$A:$H,6,FALSE)))/(1-Param!$E$8-Param!$E$9-Param!$E$10)</f>
        <v>902677.73881291097</v>
      </c>
      <c r="E30" s="27">
        <f>$G$2*((VLOOKUP(PA!B30,CIMA_H!$A:$H,8,FALSE)-VLOOKUP(PA!B30+3,CIMA_H!$A:$H,8,FALSE))/(VLOOKUP(PA!B30,CIMA_H!$A:$H,6,FALSE)-VLOOKUP(PA!B30+3,CIMA_H!$A:$H,6,FALSE)))/(1-Param!$E$8-Param!$E$9-Param!$E$10)</f>
        <v>936506.8818805333</v>
      </c>
      <c r="F30" s="27">
        <f>$G$2*((VLOOKUP(PA!B30,CIMA_H!$A:$H,8,FALSE)-VLOOKUP(PA!B30+4,CIMA_H!$A:$H,8,FALSE))/(VLOOKUP(PA!B30,CIMA_H!$A:$H,6,FALSE)-VLOOKUP(PA!B30+4,CIMA_H!$A:$H,6,FALSE)))/(1-Param!$E$8-Param!$E$9-Param!$E$10)</f>
        <v>969205.07888814679</v>
      </c>
      <c r="G30" s="28">
        <f>$G$2*((VLOOKUP(PA!B30,CIMA_H!$A:$H,8,FALSE)-VLOOKUP(PA!B30+5,CIMA_H!$A:$H,8,FALSE))/(VLOOKUP(PA!B30,CIMA_H!$A:$H,6,FALSE)-VLOOKUP(PA!B30+5,CIMA_H!$A:$H,6,FALSE)))/(1-Param!$E$8-Param!$E$9-Param!$E$10)</f>
        <v>1000845.3821235986</v>
      </c>
      <c r="H30" s="21"/>
    </row>
    <row r="31" spans="2:8" x14ac:dyDescent="0.3">
      <c r="B31" s="24">
        <v>45</v>
      </c>
      <c r="C31" s="27">
        <f>$G$2*((VLOOKUP(PA!B31,CIMA_H!$A:$H,8,FALSE)-VLOOKUP(PA!B31+1,CIMA_H!$A:$H,8,FALSE))/(VLOOKUP(PA!B31,CIMA_H!$A:$H,6,FALSE)-VLOOKUP(PA!B31+1,CIMA_H!$A:$H,6,FALSE)))/(1-Param!$E$8-Param!$E$9-Param!$E$10)</f>
        <v>938575.95591971639</v>
      </c>
      <c r="D31" s="27">
        <f>$G$2*((VLOOKUP(PA!B31,CIMA_H!$A:$H,8,FALSE)-VLOOKUP(PA!B31+2,CIMA_H!$A:$H,8,FALSE))/(VLOOKUP(PA!B31,CIMA_H!$A:$H,6,FALSE)-VLOOKUP(PA!B31+2,CIMA_H!$A:$H,6,FALSE)))/(1-Param!$E$8-Param!$E$9-Param!$E$10)</f>
        <v>972753.52742276911</v>
      </c>
      <c r="E31" s="27">
        <f>$G$2*((VLOOKUP(PA!B31,CIMA_H!$A:$H,8,FALSE)-VLOOKUP(PA!B31+3,CIMA_H!$A:$H,8,FALSE))/(VLOOKUP(PA!B31,CIMA_H!$A:$H,6,FALSE)-VLOOKUP(PA!B31+3,CIMA_H!$A:$H,6,FALSE)))/(1-Param!$E$8-Param!$E$9-Param!$E$10)</f>
        <v>1005639.2207236451</v>
      </c>
      <c r="F31" s="27">
        <f>$G$2*((VLOOKUP(PA!B31,CIMA_H!$A:$H,8,FALSE)-VLOOKUP(PA!B31+4,CIMA_H!$A:$H,8,FALSE))/(VLOOKUP(PA!B31,CIMA_H!$A:$H,6,FALSE)-VLOOKUP(PA!B31+4,CIMA_H!$A:$H,6,FALSE)))/(1-Param!$E$8-Param!$E$9-Param!$E$10)</f>
        <v>1037438.9873822792</v>
      </c>
      <c r="G31" s="28">
        <f>$G$2*((VLOOKUP(PA!B31,CIMA_H!$A:$H,8,FALSE)-VLOOKUP(PA!B31+5,CIMA_H!$A:$H,8,FALSE))/(VLOOKUP(PA!B31,CIMA_H!$A:$H,6,FALSE)-VLOOKUP(PA!B31+5,CIMA_H!$A:$H,6,FALSE)))/(1-Param!$E$8-Param!$E$9-Param!$E$10)</f>
        <v>1068498.1164132424</v>
      </c>
      <c r="H31" s="21"/>
    </row>
    <row r="32" spans="2:8" x14ac:dyDescent="0.3">
      <c r="B32" s="24">
        <v>46</v>
      </c>
      <c r="C32" s="27">
        <f>$G$2*((VLOOKUP(PA!B32,CIMA_H!$A:$H,8,FALSE)-VLOOKUP(PA!B32+1,CIMA_H!$A:$H,8,FALSE))/(VLOOKUP(PA!B32,CIMA_H!$A:$H,6,FALSE)-VLOOKUP(PA!B32+1,CIMA_H!$A:$H,6,FALSE)))/(1-Param!$E$8-Param!$E$9-Param!$E$10)</f>
        <v>1008314.7774795071</v>
      </c>
      <c r="D32" s="27">
        <f>$G$2*((VLOOKUP(PA!B32,CIMA_H!$A:$H,8,FALSE)-VLOOKUP(PA!B32+2,CIMA_H!$A:$H,8,FALSE))/(VLOOKUP(PA!B32,CIMA_H!$A:$H,6,FALSE)-VLOOKUP(PA!B32+2,CIMA_H!$A:$H,6,FALSE)))/(1-Param!$E$8-Param!$E$9-Param!$E$10)</f>
        <v>1041227.4797031141</v>
      </c>
      <c r="E32" s="27">
        <f>$G$2*((VLOOKUP(PA!B32,CIMA_H!$A:$H,8,FALSE)-VLOOKUP(PA!B32+3,CIMA_H!$A:$H,8,FALSE))/(VLOOKUP(PA!B32,CIMA_H!$A:$H,6,FALSE)-VLOOKUP(PA!B32+3,CIMA_H!$A:$H,6,FALSE)))/(1-Param!$E$8-Param!$E$9-Param!$E$10)</f>
        <v>1073114.9388895514</v>
      </c>
      <c r="F32" s="27">
        <f>$G$2*((VLOOKUP(PA!B32,CIMA_H!$A:$H,8,FALSE)-VLOOKUP(PA!B32+4,CIMA_H!$A:$H,8,FALSE))/(VLOOKUP(PA!B32,CIMA_H!$A:$H,6,FALSE)-VLOOKUP(PA!B32+4,CIMA_H!$A:$H,6,FALSE)))/(1-Param!$E$8-Param!$E$9-Param!$E$10)</f>
        <v>1104364.6143322606</v>
      </c>
      <c r="G32" s="28">
        <f>$G$2*((VLOOKUP(PA!B32,CIMA_H!$A:$H,8,FALSE)-VLOOKUP(PA!B32+5,CIMA_H!$A:$H,8,FALSE))/(VLOOKUP(PA!B32,CIMA_H!$A:$H,6,FALSE)-VLOOKUP(PA!B32+5,CIMA_H!$A:$H,6,FALSE)))/(1-Param!$E$8-Param!$E$9-Param!$E$10)</f>
        <v>1135097.4967545678</v>
      </c>
      <c r="H32" s="21"/>
    </row>
    <row r="33" spans="2:8" x14ac:dyDescent="0.3">
      <c r="B33" s="24">
        <v>47</v>
      </c>
      <c r="C33" s="27">
        <f>$G$2*((VLOOKUP(PA!B33,CIMA_H!$A:$H,8,FALSE)-VLOOKUP(PA!B33+1,CIMA_H!$A:$H,8,FALSE))/(VLOOKUP(PA!B33,CIMA_H!$A:$H,6,FALSE)-VLOOKUP(PA!B33+1,CIMA_H!$A:$H,6,FALSE)))/(1-Param!$E$8-Param!$E$9-Param!$E$10)</f>
        <v>1075486.142230049</v>
      </c>
      <c r="D33" s="27">
        <f>$G$2*((VLOOKUP(PA!B33,CIMA_H!$A:$H,8,FALSE)-VLOOKUP(PA!B33+2,CIMA_H!$A:$H,8,FALSE))/(VLOOKUP(PA!B33,CIMA_H!$A:$H,6,FALSE)-VLOOKUP(PA!B33+2,CIMA_H!$A:$H,6,FALSE)))/(1-Param!$E$8-Param!$E$9-Param!$E$10)</f>
        <v>1107522.18624003</v>
      </c>
      <c r="E33" s="27">
        <f>$G$2*((VLOOKUP(PA!B33,CIMA_H!$A:$H,8,FALSE)-VLOOKUP(PA!B33+3,CIMA_H!$A:$H,8,FALSE))/(VLOOKUP(PA!B33,CIMA_H!$A:$H,6,FALSE)-VLOOKUP(PA!B33+3,CIMA_H!$A:$H,6,FALSE)))/(1-Param!$E$8-Param!$E$9-Param!$E$10)</f>
        <v>1139051.7397639027</v>
      </c>
      <c r="F33" s="27">
        <f>$G$2*((VLOOKUP(PA!B33,CIMA_H!$A:$H,8,FALSE)-VLOOKUP(PA!B33+4,CIMA_H!$A:$H,8,FALSE))/(VLOOKUP(PA!B33,CIMA_H!$A:$H,6,FALSE)-VLOOKUP(PA!B33+4,CIMA_H!$A:$H,6,FALSE)))/(1-Param!$E$8-Param!$E$9-Param!$E$10)</f>
        <v>1170130.1099403792</v>
      </c>
      <c r="G33" s="28">
        <f>$G$2*((VLOOKUP(PA!B33,CIMA_H!$A:$H,8,FALSE)-VLOOKUP(PA!B33+5,CIMA_H!$A:$H,8,FALSE))/(VLOOKUP(PA!B33,CIMA_H!$A:$H,6,FALSE)-VLOOKUP(PA!B33+5,CIMA_H!$A:$H,6,FALSE)))/(1-Param!$E$8-Param!$E$9-Param!$E$10)</f>
        <v>1201805.0137800935</v>
      </c>
      <c r="H33" s="21"/>
    </row>
    <row r="34" spans="2:8" x14ac:dyDescent="0.3">
      <c r="B34" s="24">
        <v>48</v>
      </c>
      <c r="C34" s="27">
        <f>$G$2*((VLOOKUP(PA!B34,CIMA_H!$A:$H,8,FALSE)-VLOOKUP(PA!B34+1,CIMA_H!$A:$H,8,FALSE))/(VLOOKUP(PA!B34,CIMA_H!$A:$H,6,FALSE)-VLOOKUP(PA!B34+1,CIMA_H!$A:$H,6,FALSE)))/(1-Param!$E$8-Param!$E$9-Param!$E$10)</f>
        <v>1140880.9967646736</v>
      </c>
      <c r="D34" s="27">
        <f>$G$2*((VLOOKUP(PA!B34,CIMA_H!$A:$H,8,FALSE)-VLOOKUP(PA!B34+2,CIMA_H!$A:$H,8,FALSE))/(VLOOKUP(PA!B34,CIMA_H!$A:$H,6,FALSE)-VLOOKUP(PA!B34+2,CIMA_H!$A:$H,6,FALSE)))/(1-Param!$E$8-Param!$E$9-Param!$E$10)</f>
        <v>1172822.3892362574</v>
      </c>
      <c r="E34" s="27">
        <f>$G$2*((VLOOKUP(PA!B34,CIMA_H!$A:$H,8,FALSE)-VLOOKUP(PA!B34+3,CIMA_H!$A:$H,8,FALSE))/(VLOOKUP(PA!B34,CIMA_H!$A:$H,6,FALSE)-VLOOKUP(PA!B34+3,CIMA_H!$A:$H,6,FALSE)))/(1-Param!$E$8-Param!$E$9-Param!$E$10)</f>
        <v>1204334.7836335751</v>
      </c>
      <c r="F34" s="27">
        <f>$G$2*((VLOOKUP(PA!B34,CIMA_H!$A:$H,8,FALSE)-VLOOKUP(PA!B34+4,CIMA_H!$A:$H,8,FALSE))/(VLOOKUP(PA!B34,CIMA_H!$A:$H,6,FALSE)-VLOOKUP(PA!B34+4,CIMA_H!$A:$H,6,FALSE)))/(1-Param!$E$8-Param!$E$9-Param!$E$10)</f>
        <v>1236741.389128465</v>
      </c>
      <c r="G34" s="28">
        <f>$G$2*((VLOOKUP(PA!B34,CIMA_H!$A:$H,8,FALSE)-VLOOKUP(PA!B34+5,CIMA_H!$A:$H,8,FALSE))/(VLOOKUP(PA!B34,CIMA_H!$A:$H,6,FALSE)-VLOOKUP(PA!B34+5,CIMA_H!$A:$H,6,FALSE)))/(1-Param!$E$8-Param!$E$9-Param!$E$10)</f>
        <v>1269999.6413742306</v>
      </c>
      <c r="H34" s="21"/>
    </row>
    <row r="35" spans="2:8" x14ac:dyDescent="0.3">
      <c r="B35" s="24">
        <v>49</v>
      </c>
      <c r="C35" s="27">
        <f>$G$2*((VLOOKUP(PA!B35,CIMA_H!$A:$H,8,FALSE)-VLOOKUP(PA!B35+1,CIMA_H!$A:$H,8,FALSE))/(VLOOKUP(PA!B35,CIMA_H!$A:$H,6,FALSE)-VLOOKUP(PA!B35+1,CIMA_H!$A:$H,6,FALSE)))/(1-Param!$E$8-Param!$E$9-Param!$E$10)</f>
        <v>1206094.9351448803</v>
      </c>
      <c r="D35" s="27">
        <f>$G$2*((VLOOKUP(PA!B35,CIMA_H!$A:$H,8,FALSE)-VLOOKUP(PA!B35+2,CIMA_H!$A:$H,8,FALSE))/(VLOOKUP(PA!B35,CIMA_H!$A:$H,6,FALSE)-VLOOKUP(PA!B35+2,CIMA_H!$A:$H,6,FALSE)))/(1-Param!$E$8-Param!$E$9-Param!$E$10)</f>
        <v>1238064.5831541717</v>
      </c>
      <c r="E35" s="27">
        <f>$G$2*((VLOOKUP(PA!B35,CIMA_H!$A:$H,8,FALSE)-VLOOKUP(PA!B35+3,CIMA_H!$A:$H,8,FALSE))/(VLOOKUP(PA!B35,CIMA_H!$A:$H,6,FALSE)-VLOOKUP(PA!B35+3,CIMA_H!$A:$H,6,FALSE)))/(1-Param!$E$8-Param!$E$9-Param!$E$10)</f>
        <v>1271410.9254488731</v>
      </c>
      <c r="F35" s="27">
        <f>$G$2*((VLOOKUP(PA!B35,CIMA_H!$A:$H,8,FALSE)-VLOOKUP(PA!B35+4,CIMA_H!$A:$H,8,FALSE))/(VLOOKUP(PA!B35,CIMA_H!$A:$H,6,FALSE)-VLOOKUP(PA!B35+4,CIMA_H!$A:$H,6,FALSE)))/(1-Param!$E$8-Param!$E$9-Param!$E$10)</f>
        <v>1305742.927470759</v>
      </c>
      <c r="G35" s="28">
        <f>$G$2*((VLOOKUP(PA!B35,CIMA_H!$A:$H,8,FALSE)-VLOOKUP(PA!B35+5,CIMA_H!$A:$H,8,FALSE))/(VLOOKUP(PA!B35,CIMA_H!$A:$H,6,FALSE)-VLOOKUP(PA!B35+5,CIMA_H!$A:$H,6,FALSE)))/(1-Param!$E$8-Param!$E$9-Param!$E$10)</f>
        <v>1340790.819786927</v>
      </c>
      <c r="H35" s="21"/>
    </row>
    <row r="36" spans="2:8" x14ac:dyDescent="0.3">
      <c r="B36" s="24">
        <v>50</v>
      </c>
      <c r="C36" s="27">
        <f>$G$2*((VLOOKUP(PA!B36,CIMA_H!$A:$H,8,FALSE)-VLOOKUP(PA!B36+1,CIMA_H!$A:$H,8,FALSE))/(VLOOKUP(PA!B36,CIMA_H!$A:$H,6,FALSE)-VLOOKUP(PA!B36+1,CIMA_H!$A:$H,6,FALSE)))/(1-Param!$E$8-Param!$E$9-Param!$E$10)</f>
        <v>1271378.8431210204</v>
      </c>
      <c r="D36" s="27">
        <f>$G$2*((VLOOKUP(PA!B36,CIMA_H!$A:$H,8,FALSE)-VLOOKUP(PA!B36+2,CIMA_H!$A:$H,8,FALSE))/(VLOOKUP(PA!B36,CIMA_H!$A:$H,6,FALSE)-VLOOKUP(PA!B36+2,CIMA_H!$A:$H,6,FALSE)))/(1-Param!$E$8-Param!$E$9-Param!$E$10)</f>
        <v>1306149.6907714177</v>
      </c>
      <c r="E36" s="27">
        <f>$G$2*((VLOOKUP(PA!B36,CIMA_H!$A:$H,8,FALSE)-VLOOKUP(PA!B36+3,CIMA_H!$A:$H,8,FALSE))/(VLOOKUP(PA!B36,CIMA_H!$A:$H,6,FALSE)-VLOOKUP(PA!B36+3,CIMA_H!$A:$H,6,FALSE)))/(1-Param!$E$8-Param!$E$9-Param!$E$10)</f>
        <v>1341808.925097493</v>
      </c>
      <c r="F36" s="27">
        <f>$G$2*((VLOOKUP(PA!B36,CIMA_H!$A:$H,8,FALSE)-VLOOKUP(PA!B36+4,CIMA_H!$A:$H,8,FALSE))/(VLOOKUP(PA!B36,CIMA_H!$A:$H,6,FALSE)-VLOOKUP(PA!B36+4,CIMA_H!$A:$H,6,FALSE)))/(1-Param!$E$8-Param!$E$9-Param!$E$10)</f>
        <v>1378112.8075286662</v>
      </c>
      <c r="G36" s="28">
        <f>$G$2*((VLOOKUP(PA!B36,CIMA_H!$A:$H,8,FALSE)-VLOOKUP(PA!B36+5,CIMA_H!$A:$H,8,FALSE))/(VLOOKUP(PA!B36,CIMA_H!$A:$H,6,FALSE)-VLOOKUP(PA!B36+5,CIMA_H!$A:$H,6,FALSE)))/(1-Param!$E$8-Param!$E$9-Param!$E$10)</f>
        <v>1415425.0010442333</v>
      </c>
      <c r="H36" s="21"/>
    </row>
    <row r="37" spans="2:8" x14ac:dyDescent="0.3">
      <c r="B37" s="24">
        <v>51</v>
      </c>
      <c r="C37" s="27">
        <f>$G$2*((VLOOKUP(PA!B37,CIMA_H!$A:$H,8,FALSE)-VLOOKUP(PA!B37+1,CIMA_H!$A:$H,8,FALSE))/(VLOOKUP(PA!B37,CIMA_H!$A:$H,6,FALSE)-VLOOKUP(PA!B37+1,CIMA_H!$A:$H,6,FALSE)))/(1-Param!$E$8-Param!$E$9-Param!$E$10)</f>
        <v>1342396.3473247266</v>
      </c>
      <c r="D37" s="27">
        <f>$G$2*((VLOOKUP(PA!B37,CIMA_H!$A:$H,8,FALSE)-VLOOKUP(PA!B37+2,CIMA_H!$A:$H,8,FALSE))/(VLOOKUP(PA!B37,CIMA_H!$A:$H,6,FALSE)-VLOOKUP(PA!B37+2,CIMA_H!$A:$H,6,FALSE)))/(1-Param!$E$8-Param!$E$9-Param!$E$10)</f>
        <v>1379288.861779585</v>
      </c>
      <c r="E37" s="27">
        <f>$G$2*((VLOOKUP(PA!B37,CIMA_H!$A:$H,8,FALSE)-VLOOKUP(PA!B37+3,CIMA_H!$A:$H,8,FALSE))/(VLOOKUP(PA!B37,CIMA_H!$A:$H,6,FALSE)-VLOOKUP(PA!B37+3,CIMA_H!$A:$H,6,FALSE)))/(1-Param!$E$8-Param!$E$9-Param!$E$10)</f>
        <v>1416773.1291095645</v>
      </c>
      <c r="F37" s="27">
        <f>$G$2*((VLOOKUP(PA!B37,CIMA_H!$A:$H,8,FALSE)-VLOOKUP(PA!B37+4,CIMA_H!$A:$H,8,FALSE))/(VLOOKUP(PA!B37,CIMA_H!$A:$H,6,FALSE)-VLOOKUP(PA!B37+4,CIMA_H!$A:$H,6,FALSE)))/(1-Param!$E$8-Param!$E$9-Param!$E$10)</f>
        <v>1455376.6563832017</v>
      </c>
      <c r="G37" s="28">
        <f>$G$2*((VLOOKUP(PA!B37,CIMA_H!$A:$H,8,FALSE)-VLOOKUP(PA!B37+5,CIMA_H!$A:$H,8,FALSE))/(VLOOKUP(PA!B37,CIMA_H!$A:$H,6,FALSE)-VLOOKUP(PA!B37+5,CIMA_H!$A:$H,6,FALSE)))/(1-Param!$E$8-Param!$E$9-Param!$E$10)</f>
        <v>1494554.8201756354</v>
      </c>
      <c r="H37" s="21"/>
    </row>
    <row r="38" spans="2:8" x14ac:dyDescent="0.3">
      <c r="B38" s="24">
        <v>52</v>
      </c>
      <c r="C38" s="27">
        <f>$G$2*((VLOOKUP(PA!B38,CIMA_H!$A:$H,8,FALSE)-VLOOKUP(PA!B38+1,CIMA_H!$A:$H,8,FALSE))/(VLOOKUP(PA!B38,CIMA_H!$A:$H,6,FALSE)-VLOOKUP(PA!B38+1,CIMA_H!$A:$H,6,FALSE)))/(1-Param!$E$8-Param!$E$9-Param!$E$10)</f>
        <v>1417762.6934466034</v>
      </c>
      <c r="D38" s="27">
        <f>$G$2*((VLOOKUP(PA!B38,CIMA_H!$A:$H,8,FALSE)-VLOOKUP(PA!B38+2,CIMA_H!$A:$H,8,FALSE))/(VLOOKUP(PA!B38,CIMA_H!$A:$H,6,FALSE)-VLOOKUP(PA!B38+2,CIMA_H!$A:$H,6,FALSE)))/(1-Param!$E$8-Param!$E$9-Param!$E$10)</f>
        <v>1456377.5101371848</v>
      </c>
      <c r="E38" s="27">
        <f>$G$2*((VLOOKUP(PA!B38,CIMA_H!$A:$H,8,FALSE)-VLOOKUP(PA!B38+3,CIMA_H!$A:$H,8,FALSE))/(VLOOKUP(PA!B38,CIMA_H!$A:$H,6,FALSE)-VLOOKUP(PA!B38+3,CIMA_H!$A:$H,6,FALSE)))/(1-Param!$E$8-Param!$E$9-Param!$E$10)</f>
        <v>1496333.1651613058</v>
      </c>
      <c r="F38" s="27">
        <f>$G$2*((VLOOKUP(PA!B38,CIMA_H!$A:$H,8,FALSE)-VLOOKUP(PA!B38+4,CIMA_H!$A:$H,8,FALSE))/(VLOOKUP(PA!B38,CIMA_H!$A:$H,6,FALSE)-VLOOKUP(PA!B38+4,CIMA_H!$A:$H,6,FALSE)))/(1-Param!$E$8-Param!$E$9-Param!$E$10)</f>
        <v>1536800.4236653657</v>
      </c>
      <c r="G38" s="28">
        <f>$G$2*((VLOOKUP(PA!B38,CIMA_H!$A:$H,8,FALSE)-VLOOKUP(PA!B38+5,CIMA_H!$A:$H,8,FALSE))/(VLOOKUP(PA!B38,CIMA_H!$A:$H,6,FALSE)-VLOOKUP(PA!B38+5,CIMA_H!$A:$H,6,FALSE)))/(1-Param!$E$8-Param!$E$9-Param!$E$10)</f>
        <v>1577654.7201892305</v>
      </c>
      <c r="H38" s="21"/>
    </row>
    <row r="39" spans="2:8" x14ac:dyDescent="0.3">
      <c r="B39" s="24">
        <v>53</v>
      </c>
      <c r="C39" s="27">
        <f>$G$2*((VLOOKUP(PA!B39,CIMA_H!$A:$H,8,FALSE)-VLOOKUP(PA!B39+1,CIMA_H!$A:$H,8,FALSE))/(VLOOKUP(PA!B39,CIMA_H!$A:$H,6,FALSE)-VLOOKUP(PA!B39+1,CIMA_H!$A:$H,6,FALSE)))/(1-Param!$E$8-Param!$E$9-Param!$E$10)</f>
        <v>1496664.6498554139</v>
      </c>
      <c r="D39" s="27">
        <f>$G$2*((VLOOKUP(PA!B39,CIMA_H!$A:$H,8,FALSE)-VLOOKUP(PA!B39+2,CIMA_H!$A:$H,8,FALSE))/(VLOOKUP(PA!B39,CIMA_H!$A:$H,6,FALSE)-VLOOKUP(PA!B39+2,CIMA_H!$A:$H,6,FALSE)))/(1-Param!$E$8-Param!$E$9-Param!$E$10)</f>
        <v>1538197.6197746061</v>
      </c>
      <c r="E39" s="27">
        <f>$G$2*((VLOOKUP(PA!B39,CIMA_H!$A:$H,8,FALSE)-VLOOKUP(PA!B39+3,CIMA_H!$A:$H,8,FALSE))/(VLOOKUP(PA!B39,CIMA_H!$A:$H,6,FALSE)-VLOOKUP(PA!B39+3,CIMA_H!$A:$H,6,FALSE)))/(1-Param!$E$8-Param!$E$9-Param!$E$10)</f>
        <v>1579990.4346633051</v>
      </c>
      <c r="F39" s="27">
        <f>$G$2*((VLOOKUP(PA!B39,CIMA_H!$A:$H,8,FALSE)-VLOOKUP(PA!B39+4,CIMA_H!$A:$H,8,FALSE))/(VLOOKUP(PA!B39,CIMA_H!$A:$H,6,FALSE)-VLOOKUP(PA!B39+4,CIMA_H!$A:$H,6,FALSE)))/(1-Param!$E$8-Param!$E$9-Param!$E$10)</f>
        <v>1622096.3777978753</v>
      </c>
      <c r="G39" s="28">
        <f>$G$2*((VLOOKUP(PA!B39,CIMA_H!$A:$H,8,FALSE)-VLOOKUP(PA!B39+5,CIMA_H!$A:$H,8,FALSE))/(VLOOKUP(PA!B39,CIMA_H!$A:$H,6,FALSE)-VLOOKUP(PA!B39+5,CIMA_H!$A:$H,6,FALSE)))/(1-Param!$E$8-Param!$E$9-Param!$E$10)</f>
        <v>1670432.270755708</v>
      </c>
      <c r="H39" s="21"/>
    </row>
    <row r="40" spans="2:8" x14ac:dyDescent="0.3">
      <c r="B40" s="24">
        <v>54</v>
      </c>
      <c r="C40" s="27">
        <f>$G$2*((VLOOKUP(PA!B40,CIMA_H!$A:$H,8,FALSE)-VLOOKUP(PA!B40+1,CIMA_H!$A:$H,8,FALSE))/(VLOOKUP(PA!B40,CIMA_H!$A:$H,6,FALSE)-VLOOKUP(PA!B40+1,CIMA_H!$A:$H,6,FALSE)))/(1-Param!$E$8-Param!$E$9-Param!$E$10)</f>
        <v>1581548.6570852217</v>
      </c>
      <c r="D40" s="27">
        <f>$G$2*((VLOOKUP(PA!B40,CIMA_H!$A:$H,8,FALSE)-VLOOKUP(PA!B40+2,CIMA_H!$A:$H,8,FALSE))/(VLOOKUP(PA!B40,CIMA_H!$A:$H,6,FALSE)-VLOOKUP(PA!B40+2,CIMA_H!$A:$H,6,FALSE)))/(1-Param!$E$8-Param!$E$9-Param!$E$10)</f>
        <v>1624418.941635258</v>
      </c>
      <c r="E40" s="27">
        <f>$G$2*((VLOOKUP(PA!B40,CIMA_H!$A:$H,8,FALSE)-VLOOKUP(PA!B40+3,CIMA_H!$A:$H,8,FALSE))/(VLOOKUP(PA!B40,CIMA_H!$A:$H,6,FALSE)-VLOOKUP(PA!B40+3,CIMA_H!$A:$H,6,FALSE)))/(1-Param!$E$8-Param!$E$9-Param!$E$10)</f>
        <v>1667648.1370702656</v>
      </c>
      <c r="F40" s="27">
        <f>$G$2*((VLOOKUP(PA!B40,CIMA_H!$A:$H,8,FALSE)-VLOOKUP(PA!B40+4,CIMA_H!$A:$H,8,FALSE))/(VLOOKUP(PA!B40,CIMA_H!$A:$H,6,FALSE)-VLOOKUP(PA!B40+4,CIMA_H!$A:$H,6,FALSE)))/(1-Param!$E$8-Param!$E$9-Param!$E$10)</f>
        <v>1718786.5603743391</v>
      </c>
      <c r="G40" s="28">
        <f>$G$2*((VLOOKUP(PA!B40,CIMA_H!$A:$H,8,FALSE)-VLOOKUP(PA!B40+5,CIMA_H!$A:$H,8,FALSE))/(VLOOKUP(PA!B40,CIMA_H!$A:$H,6,FALSE)-VLOOKUP(PA!B40+5,CIMA_H!$A:$H,6,FALSE)))/(1-Param!$E$8-Param!$E$9-Param!$E$10)</f>
        <v>1776072.1605055537</v>
      </c>
      <c r="H40" s="21"/>
    </row>
    <row r="41" spans="2:8" x14ac:dyDescent="0.3">
      <c r="B41" s="24">
        <v>55</v>
      </c>
      <c r="C41" s="27">
        <f>$G$2*((VLOOKUP(PA!B41,CIMA_H!$A:$H,8,FALSE)-VLOOKUP(PA!B41+1,CIMA_H!$A:$H,8,FALSE))/(VLOOKUP(PA!B41,CIMA_H!$A:$H,6,FALSE)-VLOOKUP(PA!B41+1,CIMA_H!$A:$H,6,FALSE)))/(1-Param!$E$8-Param!$E$9-Param!$E$10)</f>
        <v>1669187.3578430819</v>
      </c>
      <c r="D41" s="27">
        <f>$G$2*((VLOOKUP(PA!B41,CIMA_H!$A:$H,8,FALSE)-VLOOKUP(PA!B41+2,CIMA_H!$A:$H,8,FALSE))/(VLOOKUP(PA!B41,CIMA_H!$A:$H,6,FALSE)-VLOOKUP(PA!B41+2,CIMA_H!$A:$H,6,FALSE)))/(1-Param!$E$8-Param!$E$9-Param!$E$10)</f>
        <v>1713588.7953244194</v>
      </c>
      <c r="E41" s="27">
        <f>$G$2*((VLOOKUP(PA!B41,CIMA_H!$A:$H,8,FALSE)-VLOOKUP(PA!B41+3,CIMA_H!$A:$H,8,FALSE))/(VLOOKUP(PA!B41,CIMA_H!$A:$H,6,FALSE)-VLOOKUP(PA!B41+3,CIMA_H!$A:$H,6,FALSE)))/(1-Param!$E$8-Param!$E$9-Param!$E$10)</f>
        <v>1768674.1628924848</v>
      </c>
      <c r="F41" s="27">
        <f>$G$2*((VLOOKUP(PA!B41,CIMA_H!$A:$H,8,FALSE)-VLOOKUP(PA!B41+4,CIMA_H!$A:$H,8,FALSE))/(VLOOKUP(PA!B41,CIMA_H!$A:$H,6,FALSE)-VLOOKUP(PA!B41+4,CIMA_H!$A:$H,6,FALSE)))/(1-Param!$E$8-Param!$E$9-Param!$E$10)</f>
        <v>1830270.3751997771</v>
      </c>
      <c r="G41" s="28">
        <f>$G$2*((VLOOKUP(PA!B41,CIMA_H!$A:$H,8,FALSE)-VLOOKUP(PA!B41+5,CIMA_H!$A:$H,8,FALSE))/(VLOOKUP(PA!B41,CIMA_H!$A:$H,6,FALSE)-VLOOKUP(PA!B41+5,CIMA_H!$A:$H,6,FALSE)))/(1-Param!$E$8-Param!$E$9-Param!$E$10)</f>
        <v>1900965.1071740729</v>
      </c>
      <c r="H41" s="21"/>
    </row>
    <row r="42" spans="2:8" x14ac:dyDescent="0.3">
      <c r="B42" s="24">
        <v>56</v>
      </c>
      <c r="C42" s="27">
        <f>$G$2*((VLOOKUP(PA!B42,CIMA_H!$A:$H,8,FALSE)-VLOOKUP(PA!B42+1,CIMA_H!$A:$H,8,FALSE))/(VLOOKUP(PA!B42,CIMA_H!$A:$H,6,FALSE)-VLOOKUP(PA!B42+1,CIMA_H!$A:$H,6,FALSE)))/(1-Param!$E$8-Param!$E$9-Param!$E$10)</f>
        <v>1759979.1973490415</v>
      </c>
      <c r="D42" s="27">
        <f>$G$2*((VLOOKUP(PA!B42,CIMA_H!$A:$H,8,FALSE)-VLOOKUP(PA!B42+2,CIMA_H!$A:$H,8,FALSE))/(VLOOKUP(PA!B42,CIMA_H!$A:$H,6,FALSE)-VLOOKUP(PA!B42+2,CIMA_H!$A:$H,6,FALSE)))/(1-Param!$E$8-Param!$E$9-Param!$E$10)</f>
        <v>1821797.7331921137</v>
      </c>
      <c r="E42" s="27">
        <f>$G$2*((VLOOKUP(PA!B42,CIMA_H!$A:$H,8,FALSE)-VLOOKUP(PA!B42+3,CIMA_H!$A:$H,8,FALSE))/(VLOOKUP(PA!B42,CIMA_H!$A:$H,6,FALSE)-VLOOKUP(PA!B42+3,CIMA_H!$A:$H,6,FALSE)))/(1-Param!$E$8-Param!$E$9-Param!$E$10)</f>
        <v>1888888.1184658017</v>
      </c>
      <c r="F42" s="27">
        <f>$G$2*((VLOOKUP(PA!B42,CIMA_H!$A:$H,8,FALSE)-VLOOKUP(PA!B42+4,CIMA_H!$A:$H,8,FALSE))/(VLOOKUP(PA!B42,CIMA_H!$A:$H,6,FALSE)-VLOOKUP(PA!B42+4,CIMA_H!$A:$H,6,FALSE)))/(1-Param!$E$8-Param!$E$9-Param!$E$10)</f>
        <v>1965634.2643779574</v>
      </c>
      <c r="G42" s="28">
        <f>$G$2*((VLOOKUP(PA!B42,CIMA_H!$A:$H,8,FALSE)-VLOOKUP(PA!B42+5,CIMA_H!$A:$H,8,FALSE))/(VLOOKUP(PA!B42,CIMA_H!$A:$H,6,FALSE)-VLOOKUP(PA!B42+5,CIMA_H!$A:$H,6,FALSE)))/(1-Param!$E$8-Param!$E$9-Param!$E$10)</f>
        <v>2046236.9534590642</v>
      </c>
      <c r="H42" s="21"/>
    </row>
    <row r="43" spans="2:8" x14ac:dyDescent="0.3">
      <c r="B43" s="24">
        <v>57</v>
      </c>
      <c r="C43" s="27">
        <f>$G$2*((VLOOKUP(PA!B43,CIMA_H!$A:$H,8,FALSE)-VLOOKUP(PA!B43+1,CIMA_H!$A:$H,8,FALSE))/(VLOOKUP(PA!B43,CIMA_H!$A:$H,6,FALSE)-VLOOKUP(PA!B43+1,CIMA_H!$A:$H,6,FALSE)))/(1-Param!$E$8-Param!$E$9-Param!$E$10)</f>
        <v>1886418.6978744385</v>
      </c>
      <c r="D43" s="27">
        <f>$G$2*((VLOOKUP(PA!B43,CIMA_H!$A:$H,8,FALSE)-VLOOKUP(PA!B43+2,CIMA_H!$A:$H,8,FALSE))/(VLOOKUP(PA!B43,CIMA_H!$A:$H,6,FALSE)-VLOOKUP(PA!B43+2,CIMA_H!$A:$H,6,FALSE)))/(1-Param!$E$8-Param!$E$9-Param!$E$10)</f>
        <v>1957782.0047530371</v>
      </c>
      <c r="E43" s="27">
        <f>$G$2*((VLOOKUP(PA!B43,CIMA_H!$A:$H,8,FALSE)-VLOOKUP(PA!B43+3,CIMA_H!$A:$H,8,FALSE))/(VLOOKUP(PA!B43,CIMA_H!$A:$H,6,FALSE)-VLOOKUP(PA!B43+3,CIMA_H!$A:$H,6,FALSE)))/(1-Param!$E$8-Param!$E$9-Param!$E$10)</f>
        <v>2040565.0118111412</v>
      </c>
      <c r="F43" s="27">
        <f>$G$2*((VLOOKUP(PA!B43,CIMA_H!$A:$H,8,FALSE)-VLOOKUP(PA!B43+4,CIMA_H!$A:$H,8,FALSE))/(VLOOKUP(PA!B43,CIMA_H!$A:$H,6,FALSE)-VLOOKUP(PA!B43+4,CIMA_H!$A:$H,6,FALSE)))/(1-Param!$E$8-Param!$E$9-Param!$E$10)</f>
        <v>2126241.2452770318</v>
      </c>
      <c r="G43" s="28">
        <f>$G$2*((VLOOKUP(PA!B43,CIMA_H!$A:$H,8,FALSE)-VLOOKUP(PA!B43+5,CIMA_H!$A:$H,8,FALSE))/(VLOOKUP(PA!B43,CIMA_H!$A:$H,6,FALSE)-VLOOKUP(PA!B43+5,CIMA_H!$A:$H,6,FALSE)))/(1-Param!$E$8-Param!$E$9-Param!$E$10)</f>
        <v>2219180.9145646151</v>
      </c>
      <c r="H43" s="21"/>
    </row>
    <row r="44" spans="2:8" x14ac:dyDescent="0.3">
      <c r="B44" s="24">
        <v>58</v>
      </c>
      <c r="C44" s="27">
        <f>$G$2*((VLOOKUP(PA!B44,CIMA_H!$A:$H,8,FALSE)-VLOOKUP(PA!B44+1,CIMA_H!$A:$H,8,FALSE))/(VLOOKUP(PA!B44,CIMA_H!$A:$H,6,FALSE)-VLOOKUP(PA!B44+1,CIMA_H!$A:$H,6,FALSE)))/(1-Param!$E$8-Param!$E$9-Param!$E$10)</f>
        <v>2032433.9787460172</v>
      </c>
      <c r="D44" s="27">
        <f>$G$2*((VLOOKUP(PA!B44,CIMA_H!$A:$H,8,FALSE)-VLOOKUP(PA!B44+2,CIMA_H!$A:$H,8,FALSE))/(VLOOKUP(PA!B44,CIMA_H!$A:$H,6,FALSE)-VLOOKUP(PA!B44+2,CIMA_H!$A:$H,6,FALSE)))/(1-Param!$E$8-Param!$E$9-Param!$E$10)</f>
        <v>2123039.2729605241</v>
      </c>
      <c r="E44" s="27">
        <f>$G$2*((VLOOKUP(PA!B44,CIMA_H!$A:$H,8,FALSE)-VLOOKUP(PA!B44+3,CIMA_H!$A:$H,8,FALSE))/(VLOOKUP(PA!B44,CIMA_H!$A:$H,6,FALSE)-VLOOKUP(PA!B44+3,CIMA_H!$A:$H,6,FALSE)))/(1-Param!$E$8-Param!$E$9-Param!$E$10)</f>
        <v>2213760.2685593884</v>
      </c>
      <c r="F44" s="27">
        <f>$G$2*((VLOOKUP(PA!B44,CIMA_H!$A:$H,8,FALSE)-VLOOKUP(PA!B44+4,CIMA_H!$A:$H,8,FALSE))/(VLOOKUP(PA!B44,CIMA_H!$A:$H,6,FALSE)-VLOOKUP(PA!B44+4,CIMA_H!$A:$H,6,FALSE)))/(1-Param!$E$8-Param!$E$9-Param!$E$10)</f>
        <v>2312376.0600921549</v>
      </c>
      <c r="G44" s="28">
        <f>$G$2*((VLOOKUP(PA!B44,CIMA_H!$A:$H,8,FALSE)-VLOOKUP(PA!B44+5,CIMA_H!$A:$H,8,FALSE))/(VLOOKUP(PA!B44,CIMA_H!$A:$H,6,FALSE)-VLOOKUP(PA!B44+5,CIMA_H!$A:$H,6,FALSE)))/(1-Param!$E$8-Param!$E$9-Param!$E$10)</f>
        <v>2414313.5565289319</v>
      </c>
      <c r="H44" s="21"/>
    </row>
    <row r="45" spans="2:8" x14ac:dyDescent="0.3">
      <c r="B45" s="24">
        <v>59</v>
      </c>
      <c r="C45" s="27">
        <f>$G$2*((VLOOKUP(PA!B45,CIMA_H!$A:$H,8,FALSE)-VLOOKUP(PA!B45+1,CIMA_H!$A:$H,8,FALSE))/(VLOOKUP(PA!B45,CIMA_H!$A:$H,6,FALSE)-VLOOKUP(PA!B45+1,CIMA_H!$A:$H,6,FALSE)))/(1-Param!$E$8-Param!$E$9-Param!$E$10)</f>
        <v>2217898.5989233935</v>
      </c>
      <c r="D45" s="27">
        <f>$G$2*((VLOOKUP(PA!B45,CIMA_H!$A:$H,8,FALSE)-VLOOKUP(PA!B45+2,CIMA_H!$A:$H,8,FALSE))/(VLOOKUP(PA!B45,CIMA_H!$A:$H,6,FALSE)-VLOOKUP(PA!B45+2,CIMA_H!$A:$H,6,FALSE)))/(1-Param!$E$8-Param!$E$9-Param!$E$10)</f>
        <v>2310907.362233792</v>
      </c>
      <c r="E45" s="27">
        <f>$G$2*((VLOOKUP(PA!B45,CIMA_H!$A:$H,8,FALSE)-VLOOKUP(PA!B45+3,CIMA_H!$A:$H,8,FALSE))/(VLOOKUP(PA!B45,CIMA_H!$A:$H,6,FALSE)-VLOOKUP(PA!B45+3,CIMA_H!$A:$H,6,FALSE)))/(1-Param!$E$8-Param!$E$9-Param!$E$10)</f>
        <v>2414726.1913404125</v>
      </c>
      <c r="F45" s="27">
        <f>$G$2*((VLOOKUP(PA!B45,CIMA_H!$A:$H,8,FALSE)-VLOOKUP(PA!B45+4,CIMA_H!$A:$H,8,FALSE))/(VLOOKUP(PA!B45,CIMA_H!$A:$H,6,FALSE)-VLOOKUP(PA!B45+4,CIMA_H!$A:$H,6,FALSE)))/(1-Param!$E$8-Param!$E$9-Param!$E$10)</f>
        <v>2521524.0084377606</v>
      </c>
      <c r="G45" s="28">
        <f>$G$2*((VLOOKUP(PA!B45,CIMA_H!$A:$H,8,FALSE)-VLOOKUP(PA!B45+5,CIMA_H!$A:$H,8,FALSE))/(VLOOKUP(PA!B45,CIMA_H!$A:$H,6,FALSE)-VLOOKUP(PA!B45+5,CIMA_H!$A:$H,6,FALSE)))/(1-Param!$E$8-Param!$E$9-Param!$E$10)</f>
        <v>2629511.799029544</v>
      </c>
      <c r="H45" s="21"/>
    </row>
    <row r="46" spans="2:8" x14ac:dyDescent="0.3">
      <c r="B46" s="24">
        <v>60</v>
      </c>
      <c r="C46" s="27">
        <f>$G$2*((VLOOKUP(PA!B46,CIMA_H!$A:$H,8,FALSE)-VLOOKUP(PA!B46+1,CIMA_H!$A:$H,8,FALSE))/(VLOOKUP(PA!B46,CIMA_H!$A:$H,6,FALSE)-VLOOKUP(PA!B46+1,CIMA_H!$A:$H,6,FALSE)))/(1-Param!$E$8-Param!$E$9-Param!$E$10)</f>
        <v>2408385.7162526078</v>
      </c>
      <c r="D46" s="27">
        <f>$G$2*((VLOOKUP(PA!B46,CIMA_H!$A:$H,8,FALSE)-VLOOKUP(PA!B46+2,CIMA_H!$A:$H,8,FALSE))/(VLOOKUP(PA!B46,CIMA_H!$A:$H,6,FALSE)-VLOOKUP(PA!B46+2,CIMA_H!$A:$H,6,FALSE)))/(1-Param!$E$8-Param!$E$9-Param!$E$10)</f>
        <v>2520345.3414847194</v>
      </c>
      <c r="E46" s="27">
        <f>$G$2*((VLOOKUP(PA!B46,CIMA_H!$A:$H,8,FALSE)-VLOOKUP(PA!B46+3,CIMA_H!$A:$H,8,FALSE))/(VLOOKUP(PA!B46,CIMA_H!$A:$H,6,FALSE)-VLOOKUP(PA!B46+3,CIMA_H!$A:$H,6,FALSE)))/(1-Param!$E$8-Param!$E$9-Param!$E$10)</f>
        <v>2632774.6762559088</v>
      </c>
      <c r="F46" s="27">
        <f>$G$2*((VLOOKUP(PA!B46,CIMA_H!$A:$H,8,FALSE)-VLOOKUP(PA!B46+4,CIMA_H!$A:$H,8,FALSE))/(VLOOKUP(PA!B46,CIMA_H!$A:$H,6,FALSE)-VLOOKUP(PA!B46+4,CIMA_H!$A:$H,6,FALSE)))/(1-Param!$E$8-Param!$E$9-Param!$E$10)</f>
        <v>2745391.7894699918</v>
      </c>
      <c r="G46" s="28">
        <f>$G$2*((VLOOKUP(PA!B46,CIMA_H!$A:$H,8,FALSE)-VLOOKUP(PA!B46+5,CIMA_H!$A:$H,8,FALSE))/(VLOOKUP(PA!B46,CIMA_H!$A:$H,6,FALSE)-VLOOKUP(PA!B46+5,CIMA_H!$A:$H,6,FALSE)))/(1-Param!$E$8-Param!$E$9-Param!$E$10)</f>
        <v>2864409.8726380551</v>
      </c>
      <c r="H46" s="21"/>
    </row>
    <row r="47" spans="2:8" x14ac:dyDescent="0.3">
      <c r="B47" s="24">
        <v>61</v>
      </c>
      <c r="C47" s="27">
        <f>$G$2*((VLOOKUP(PA!B47,CIMA_H!$A:$H,8,FALSE)-VLOOKUP(PA!B47+1,CIMA_H!$A:$H,8,FALSE))/(VLOOKUP(PA!B47,CIMA_H!$A:$H,6,FALSE)-VLOOKUP(PA!B47+1,CIMA_H!$A:$H,6,FALSE)))/(1-Param!$E$8-Param!$E$9-Param!$E$10)</f>
        <v>2637812.5135558587</v>
      </c>
      <c r="D47" s="27">
        <f>$G$2*((VLOOKUP(PA!B47,CIMA_H!$A:$H,8,FALSE)-VLOOKUP(PA!B47+2,CIMA_H!$A:$H,8,FALSE))/(VLOOKUP(PA!B47,CIMA_H!$A:$H,6,FALSE)-VLOOKUP(PA!B47+2,CIMA_H!$A:$H,6,FALSE)))/(1-Param!$E$8-Param!$E$9-Param!$E$10)</f>
        <v>2753390.937863295</v>
      </c>
      <c r="E47" s="27">
        <f>$G$2*((VLOOKUP(PA!B47,CIMA_H!$A:$H,8,FALSE)-VLOOKUP(PA!B47+3,CIMA_H!$A:$H,8,FALSE))/(VLOOKUP(PA!B47,CIMA_H!$A:$H,6,FALSE)-VLOOKUP(PA!B47+3,CIMA_H!$A:$H,6,FALSE)))/(1-Param!$E$8-Param!$E$9-Param!$E$10)</f>
        <v>2869165.4398043142</v>
      </c>
      <c r="F47" s="27">
        <f>$G$2*((VLOOKUP(PA!B47,CIMA_H!$A:$H,8,FALSE)-VLOOKUP(PA!B47+4,CIMA_H!$A:$H,8,FALSE))/(VLOOKUP(PA!B47,CIMA_H!$A:$H,6,FALSE)-VLOOKUP(PA!B47+4,CIMA_H!$A:$H,6,FALSE)))/(1-Param!$E$8-Param!$E$9-Param!$E$10)</f>
        <v>2993179.0369443484</v>
      </c>
      <c r="G47" s="47">
        <f>$G$2*((VLOOKUP(PA!B47,CIMA_H!$A:$H,8,FALSE)-VLOOKUP(PA!B47+5,CIMA_H!$A:$H,8,FALSE))/(VLOOKUP(PA!B47,CIMA_H!$A:$H,6,FALSE)-VLOOKUP(PA!B47+5,CIMA_H!$A:$H,6,FALSE)))/(1-Param!$E$8-Param!$E$9-Param!$E$10)</f>
        <v>3120300.9350158731</v>
      </c>
      <c r="H47" s="45"/>
    </row>
    <row r="48" spans="2:8" x14ac:dyDescent="0.3">
      <c r="B48" s="24">
        <v>62</v>
      </c>
      <c r="C48" s="27">
        <f>$G$2*((VLOOKUP(PA!B48,CIMA_H!$A:$H,8,FALSE)-VLOOKUP(PA!B48+1,CIMA_H!$A:$H,8,FALSE))/(VLOOKUP(PA!B48,CIMA_H!$A:$H,6,FALSE)-VLOOKUP(PA!B48+1,CIMA_H!$A:$H,6,FALSE)))/(1-Param!$E$8-Param!$E$9-Param!$E$10)</f>
        <v>2874813.535259712</v>
      </c>
      <c r="D48" s="27">
        <f>$G$2*((VLOOKUP(PA!B48,CIMA_H!$A:$H,8,FALSE)-VLOOKUP(PA!B48+2,CIMA_H!$A:$H,8,FALSE))/(VLOOKUP(PA!B48,CIMA_H!$A:$H,6,FALSE)-VLOOKUP(PA!B48+2,CIMA_H!$A:$H,6,FALSE)))/(1-Param!$E$8-Param!$E$9-Param!$E$10)</f>
        <v>2993769.8186440347</v>
      </c>
      <c r="E48" s="27">
        <f>$G$2*((VLOOKUP(PA!B48,CIMA_H!$A:$H,8,FALSE)-VLOOKUP(PA!B48+3,CIMA_H!$A:$H,8,FALSE))/(VLOOKUP(PA!B48,CIMA_H!$A:$H,6,FALSE)-VLOOKUP(PA!B48+3,CIMA_H!$A:$H,6,FALSE)))/(1-Param!$E$8-Param!$E$9-Param!$E$10)</f>
        <v>3124039.3176143472</v>
      </c>
      <c r="F48" s="48">
        <f>$G$2*((VLOOKUP(PA!B48,CIMA_H!$A:$H,8,FALSE)-VLOOKUP(PA!B48+4,CIMA_H!$A:$H,8,FALSE))/(VLOOKUP(PA!B48,CIMA_H!$A:$H,6,FALSE)-VLOOKUP(PA!B48+4,CIMA_H!$A:$H,6,FALSE)))/(1-Param!$E$8-Param!$E$9-Param!$E$10)</f>
        <v>3256998.0500146467</v>
      </c>
      <c r="G48" s="47">
        <f>$G$2*((VLOOKUP(PA!B48,CIMA_H!$A:$H,8,FALSE)-VLOOKUP(PA!B48+5,CIMA_H!$A:$H,8,FALSE))/(VLOOKUP(PA!B48,CIMA_H!$A:$H,6,FALSE)-VLOOKUP(PA!B48+5,CIMA_H!$A:$H,6,FALSE)))/(1-Param!$E$8-Param!$E$9-Param!$E$10)</f>
        <v>3392442.2899568989</v>
      </c>
      <c r="H48" s="45"/>
    </row>
    <row r="49" spans="2:8" x14ac:dyDescent="0.3">
      <c r="B49" s="24">
        <v>63</v>
      </c>
      <c r="C49" s="27">
        <f>$G$2*((VLOOKUP(PA!B49,CIMA_H!$A:$H,8,FALSE)-VLOOKUP(PA!B49+1,CIMA_H!$A:$H,8,FALSE))/(VLOOKUP(PA!B49,CIMA_H!$A:$H,6,FALSE)-VLOOKUP(PA!B49+1,CIMA_H!$A:$H,6,FALSE)))/(1-Param!$E$8-Param!$E$9-Param!$E$10)</f>
        <v>3118910.1582572511</v>
      </c>
      <c r="D49" s="27">
        <f>$G$2*((VLOOKUP(PA!B49,CIMA_H!$A:$H,8,FALSE)-VLOOKUP(PA!B49+2,CIMA_H!$A:$H,8,FALSE))/(VLOOKUP(PA!B49,CIMA_H!$A:$H,6,FALSE)-VLOOKUP(PA!B49+2,CIMA_H!$A:$H,6,FALSE)))/(1-Param!$E$8-Param!$E$9-Param!$E$10)</f>
        <v>3258542.789202298</v>
      </c>
      <c r="E49" s="48">
        <f>$G$2*((VLOOKUP(PA!B49,CIMA_H!$A:$H,8,FALSE)-VLOOKUP(PA!B49+3,CIMA_H!$A:$H,8,FALSE))/(VLOOKUP(PA!B49,CIMA_H!$A:$H,6,FALSE)-VLOOKUP(PA!B49+3,CIMA_H!$A:$H,6,FALSE)))/(1-Param!$E$8-Param!$E$9-Param!$E$10)</f>
        <v>3398124.9988053171</v>
      </c>
      <c r="F49" s="48">
        <f>$G$2*((VLOOKUP(PA!B49,CIMA_H!$A:$H,8,FALSE)-VLOOKUP(PA!B49+4,CIMA_H!$A:$H,8,FALSE))/(VLOOKUP(PA!B49,CIMA_H!$A:$H,6,FALSE)-VLOOKUP(PA!B49+4,CIMA_H!$A:$H,6,FALSE)))/(1-Param!$E$8-Param!$E$9-Param!$E$10)</f>
        <v>3539614.7721268134</v>
      </c>
      <c r="G49" s="47">
        <f>$G$2*((VLOOKUP(PA!B49,CIMA_H!$A:$H,8,FALSE)-VLOOKUP(PA!B49+5,CIMA_H!$A:$H,8,FALSE))/(VLOOKUP(PA!B49,CIMA_H!$A:$H,6,FALSE)-VLOOKUP(PA!B49+5,CIMA_H!$A:$H,6,FALSE)))/(1-Param!$E$8-Param!$E$9-Param!$E$10)</f>
        <v>3675706.4640907678</v>
      </c>
      <c r="H49" s="45"/>
    </row>
    <row r="50" spans="2:8" x14ac:dyDescent="0.3">
      <c r="B50" s="24">
        <v>64</v>
      </c>
      <c r="C50" s="27">
        <f>$G$2*((VLOOKUP(PA!B50,CIMA_H!$A:$H,8,FALSE)-VLOOKUP(PA!B50+1,CIMA_H!$A:$H,8,FALSE))/(VLOOKUP(PA!B50,CIMA_H!$A:$H,6,FALSE)-VLOOKUP(PA!B50+1,CIMA_H!$A:$H,6,FALSE)))/(1-Param!$E$8-Param!$E$9-Param!$E$10)</f>
        <v>3405639.332663551</v>
      </c>
      <c r="D50" s="48">
        <f>$G$2*((VLOOKUP(PA!B50,CIMA_H!$A:$H,8,FALSE)-VLOOKUP(PA!B50+2,CIMA_H!$A:$H,8,FALSE))/(VLOOKUP(PA!B50,CIMA_H!$A:$H,6,FALSE)-VLOOKUP(PA!B50+2,CIMA_H!$A:$H,6,FALSE)))/(1-Param!$E$8-Param!$E$9-Param!$E$10)</f>
        <v>3549143.9453978431</v>
      </c>
      <c r="E50" s="48">
        <f>$G$2*((VLOOKUP(PA!B50,CIMA_H!$A:$H,8,FALSE)-VLOOKUP(PA!B50+3,CIMA_H!$A:$H,8,FALSE))/(VLOOKUP(PA!B50,CIMA_H!$A:$H,6,FALSE)-VLOOKUP(PA!B50+3,CIMA_H!$A:$H,6,FALSE)))/(1-Param!$E$8-Param!$E$9-Param!$E$10)</f>
        <v>3695431.297023383</v>
      </c>
      <c r="F50" s="48">
        <f>$G$2*((VLOOKUP(PA!B50,CIMA_H!$A:$H,8,FALSE)-VLOOKUP(PA!B50+4,CIMA_H!$A:$H,8,FALSE))/(VLOOKUP(PA!B50,CIMA_H!$A:$H,6,FALSE)-VLOOKUP(PA!B50+4,CIMA_H!$A:$H,6,FALSE)))/(1-Param!$E$8-Param!$E$9-Param!$E$10)</f>
        <v>3834618.1829646579</v>
      </c>
      <c r="G50" s="47">
        <f>$G$2*((VLOOKUP(PA!B50,CIMA_H!$A:$H,8,FALSE)-VLOOKUP(PA!B50+5,CIMA_H!$A:$H,8,FALSE))/(VLOOKUP(PA!B50,CIMA_H!$A:$H,6,FALSE)-VLOOKUP(PA!B50+5,CIMA_H!$A:$H,6,FALSE)))/(1-Param!$E$8-Param!$E$9-Param!$E$10)</f>
        <v>3973126.2487804228</v>
      </c>
      <c r="H50" s="45"/>
    </row>
    <row r="51" spans="2:8" x14ac:dyDescent="0.3">
      <c r="B51" s="49">
        <v>65</v>
      </c>
      <c r="C51" s="48">
        <f>$G$2*((VLOOKUP(PA!B51,CIMA_H!$A:$H,8,FALSE)-VLOOKUP(PA!B51+1,CIMA_H!$A:$H,8,FALSE))/(VLOOKUP(PA!B51,CIMA_H!$A:$H,6,FALSE)-VLOOKUP(PA!B51+1,CIMA_H!$A:$H,6,FALSE)))/(1-Param!$E$8-Param!$E$9-Param!$E$10)</f>
        <v>3700567.6487473268</v>
      </c>
      <c r="D51" s="48">
        <f>$G$2*((VLOOKUP(PA!B51,CIMA_H!$A:$H,8,FALSE)-VLOOKUP(PA!B51+2,CIMA_H!$A:$H,8,FALSE))/(VLOOKUP(PA!B51,CIMA_H!$A:$H,6,FALSE)-VLOOKUP(PA!B51+2,CIMA_H!$A:$H,6,FALSE)))/(1-Param!$E$8-Param!$E$9-Param!$E$10)</f>
        <v>3852557.5481026382</v>
      </c>
      <c r="E51" s="48">
        <f>$G$2*((VLOOKUP(PA!B51,CIMA_H!$A:$H,8,FALSE)-VLOOKUP(PA!B51+3,CIMA_H!$A:$H,8,FALSE))/(VLOOKUP(PA!B51,CIMA_H!$A:$H,6,FALSE)-VLOOKUP(PA!B51+3,CIMA_H!$A:$H,6,FALSE)))/(1-Param!$E$8-Param!$E$9-Param!$E$10)</f>
        <v>3994024.6115796724</v>
      </c>
      <c r="F51" s="48">
        <f>$G$2*((VLOOKUP(PA!B51,CIMA_H!$A:$H,8,FALSE)-VLOOKUP(PA!B51+4,CIMA_H!$A:$H,8,FALSE))/(VLOOKUP(PA!B51,CIMA_H!$A:$H,6,FALSE)-VLOOKUP(PA!B51+4,CIMA_H!$A:$H,6,FALSE)))/(1-Param!$E$8-Param!$E$9-Param!$E$10)</f>
        <v>4135754.4990884759</v>
      </c>
      <c r="G51" s="47">
        <f>$G$2*((VLOOKUP(PA!B51,CIMA_H!$A:$H,8,FALSE)-VLOOKUP(PA!B51+5,CIMA_H!$A:$H,8,FALSE))/(VLOOKUP(PA!B51,CIMA_H!$A:$H,6,FALSE)-VLOOKUP(PA!B51+5,CIMA_H!$A:$H,6,FALSE)))/(1-Param!$E$8-Param!$E$9-Param!$E$10)</f>
        <v>4279580.6371401092</v>
      </c>
      <c r="H51" s="46"/>
    </row>
    <row r="52" spans="2:8" x14ac:dyDescent="0.3">
      <c r="B52" s="49">
        <v>66</v>
      </c>
      <c r="C52" s="48">
        <f>$G$2*((VLOOKUP(PA!B52,CIMA_H!$A:$H,8,FALSE)-VLOOKUP(PA!B52+1,CIMA_H!$A:$H,8,FALSE))/(VLOOKUP(PA!B52,CIMA_H!$A:$H,6,FALSE)-VLOOKUP(PA!B52+1,CIMA_H!$A:$H,6,FALSE)))/(1-Param!$E$8-Param!$E$9-Param!$E$10)</f>
        <v>4013206.0870541488</v>
      </c>
      <c r="D52" s="48">
        <f>$G$2*((VLOOKUP(PA!B52,CIMA_H!$A:$H,8,FALSE)-VLOOKUP(PA!B52+2,CIMA_H!$A:$H,8,FALSE))/(VLOOKUP(PA!B52,CIMA_H!$A:$H,6,FALSE)-VLOOKUP(PA!B52+2,CIMA_H!$A:$H,6,FALSE)))/(1-Param!$E$8-Param!$E$9-Param!$E$10)</f>
        <v>4153546.2688750229</v>
      </c>
      <c r="E52" s="48">
        <f>$G$2*((VLOOKUP(PA!B52,CIMA_H!$A:$H,8,FALSE)-VLOOKUP(PA!B52+3,CIMA_H!$A:$H,8,FALSE))/(VLOOKUP(PA!B52,CIMA_H!$A:$H,6,FALSE)-VLOOKUP(PA!B52+3,CIMA_H!$A:$H,6,FALSE)))/(1-Param!$E$8-Param!$E$9-Param!$E$10)</f>
        <v>4298014.4674955811</v>
      </c>
      <c r="F52" s="48">
        <f>$G$2*((VLOOKUP(PA!B52,CIMA_H!$A:$H,8,FALSE)-VLOOKUP(PA!B52+4,CIMA_H!$A:$H,8,FALSE))/(VLOOKUP(PA!B52,CIMA_H!$A:$H,6,FALSE)-VLOOKUP(PA!B52+4,CIMA_H!$A:$H,6,FALSE)))/(1-Param!$E$8-Param!$E$9-Param!$E$10)</f>
        <v>4446208.6077920953</v>
      </c>
      <c r="G52" s="47">
        <f>$G$2*((VLOOKUP(PA!B52,CIMA_H!$A:$H,8,FALSE)-VLOOKUP(PA!B52+5,CIMA_H!$A:$H,8,FALSE))/(VLOOKUP(PA!B52,CIMA_H!$A:$H,6,FALSE)-VLOOKUP(PA!B52+5,CIMA_H!$A:$H,6,FALSE)))/(1-Param!$E$8-Param!$E$9-Param!$E$10)</f>
        <v>4598574.248908937</v>
      </c>
      <c r="H52" s="46"/>
    </row>
    <row r="53" spans="2:8" x14ac:dyDescent="0.3">
      <c r="B53" s="49">
        <v>67</v>
      </c>
      <c r="C53" s="48">
        <f>$G$2*((VLOOKUP(PA!B53,CIMA_H!$A:$H,8,FALSE)-VLOOKUP(PA!B53+1,CIMA_H!$A:$H,8,FALSE))/(VLOOKUP(PA!B53,CIMA_H!$A:$H,6,FALSE)-VLOOKUP(PA!B53+1,CIMA_H!$A:$H,6,FALSE)))/(1-Param!$E$8-Param!$E$9-Param!$E$10)</f>
        <v>4302147.8990938226</v>
      </c>
      <c r="D53" s="48">
        <f>$G$2*((VLOOKUP(PA!B53,CIMA_H!$A:$H,8,FALSE)-VLOOKUP(PA!B53+2,CIMA_H!$A:$H,8,FALSE))/(VLOOKUP(PA!B53,CIMA_H!$A:$H,6,FALSE)-VLOOKUP(PA!B53+2,CIMA_H!$A:$H,6,FALSE)))/(1-Param!$E$8-Param!$E$9-Param!$E$10)</f>
        <v>4453238.1004824303</v>
      </c>
      <c r="E53" s="48">
        <f>$G$2*((VLOOKUP(PA!B53,CIMA_H!$A:$H,8,FALSE)-VLOOKUP(PA!B53+3,CIMA_H!$A:$H,8,FALSE))/(VLOOKUP(PA!B53,CIMA_H!$A:$H,6,FALSE)-VLOOKUP(PA!B53+3,CIMA_H!$A:$H,6,FALSE)))/(1-Param!$E$8-Param!$E$9-Param!$E$10)</f>
        <v>4608209.2934046993</v>
      </c>
      <c r="F53" s="48">
        <f>$G$2*((VLOOKUP(PA!B53,CIMA_H!$A:$H,8,FALSE)-VLOOKUP(PA!B53+4,CIMA_H!$A:$H,8,FALSE))/(VLOOKUP(PA!B53,CIMA_H!$A:$H,6,FALSE)-VLOOKUP(PA!B53+4,CIMA_H!$A:$H,6,FALSE)))/(1-Param!$E$8-Param!$E$9-Param!$E$10)</f>
        <v>4767754.662779388</v>
      </c>
      <c r="G53" s="47">
        <f>$G$2*((VLOOKUP(PA!B53,CIMA_H!$A:$H,8,FALSE)-VLOOKUP(PA!B53+5,CIMA_H!$A:$H,8,FALSE))/(VLOOKUP(PA!B53,CIMA_H!$A:$H,6,FALSE)-VLOOKUP(PA!B53+5,CIMA_H!$A:$H,6,FALSE)))/(1-Param!$E$8-Param!$E$9-Param!$E$10)</f>
        <v>4931574.4177513039</v>
      </c>
      <c r="H53" s="46"/>
    </row>
    <row r="54" spans="2:8" x14ac:dyDescent="0.3">
      <c r="B54" s="49">
        <v>68</v>
      </c>
      <c r="C54" s="48">
        <f>$G$2*((VLOOKUP(PA!B54,CIMA_H!$A:$H,8,FALSE)-VLOOKUP(PA!B54+1,CIMA_H!$A:$H,8,FALSE))/(VLOOKUP(PA!B54,CIMA_H!$A:$H,6,FALSE)-VLOOKUP(PA!B54+1,CIMA_H!$A:$H,6,FALSE)))/(1-Param!$E$8-Param!$E$9-Param!$E$10)</f>
        <v>4613488.6361100841</v>
      </c>
      <c r="D54" s="48">
        <f>$G$2*((VLOOKUP(PA!B54,CIMA_H!$A:$H,8,FALSE)-VLOOKUP(PA!B54+2,CIMA_H!$A:$H,8,FALSE))/(VLOOKUP(PA!B54,CIMA_H!$A:$H,6,FALSE)-VLOOKUP(PA!B54+2,CIMA_H!$A:$H,6,FALSE)))/(1-Param!$E$8-Param!$E$9-Param!$E$10)</f>
        <v>4775438.8808155358</v>
      </c>
      <c r="E54" s="48">
        <f>$G$2*((VLOOKUP(PA!B54,CIMA_H!$A:$H,8,FALSE)-VLOOKUP(PA!B54+3,CIMA_H!$A:$H,8,FALSE))/(VLOOKUP(PA!B54,CIMA_H!$A:$H,6,FALSE)-VLOOKUP(PA!B54+3,CIMA_H!$A:$H,6,FALSE)))/(1-Param!$E$8-Param!$E$9-Param!$E$10)</f>
        <v>4942551.3015898</v>
      </c>
      <c r="F54" s="48">
        <f>$G$2*((VLOOKUP(PA!B54,CIMA_H!$A:$H,8,FALSE)-VLOOKUP(PA!B54+4,CIMA_H!$A:$H,8,FALSE))/(VLOOKUP(PA!B54,CIMA_H!$A:$H,6,FALSE)-VLOOKUP(PA!B54+4,CIMA_H!$A:$H,6,FALSE)))/(1-Param!$E$8-Param!$E$9-Param!$E$10)</f>
        <v>5114280.5333796041</v>
      </c>
      <c r="G54" s="47">
        <f>$G$2*((VLOOKUP(PA!B54,CIMA_H!$A:$H,8,FALSE)-VLOOKUP(PA!B54+5,CIMA_H!$A:$H,8,FALSE))/(VLOOKUP(PA!B54,CIMA_H!$A:$H,6,FALSE)-VLOOKUP(PA!B54+5,CIMA_H!$A:$H,6,FALSE)))/(1-Param!$E$8-Param!$E$9-Param!$E$10)</f>
        <v>5289320.1633701883</v>
      </c>
      <c r="H54" s="46"/>
    </row>
    <row r="55" spans="2:8" x14ac:dyDescent="0.3">
      <c r="B55" s="49">
        <v>69</v>
      </c>
      <c r="C55" s="48">
        <f>$G$2*((VLOOKUP(PA!B55,CIMA_H!$A:$H,8,FALSE)-VLOOKUP(PA!B55+1,CIMA_H!$A:$H,8,FALSE))/(VLOOKUP(PA!B55,CIMA_H!$A:$H,6,FALSE)-VLOOKUP(PA!B55+1,CIMA_H!$A:$H,6,FALSE)))/(1-Param!$E$8-Param!$E$9-Param!$E$10)</f>
        <v>4947516.2415302228</v>
      </c>
      <c r="D55" s="48">
        <f>$G$2*((VLOOKUP(PA!B55,CIMA_H!$A:$H,8,FALSE)-VLOOKUP(PA!B55+2,CIMA_H!$A:$H,8,FALSE))/(VLOOKUP(PA!B55,CIMA_H!$A:$H,6,FALSE)-VLOOKUP(PA!B55+2,CIMA_H!$A:$H,6,FALSE)))/(1-Param!$E$8-Param!$E$9-Param!$E$10)</f>
        <v>5122839.7282399638</v>
      </c>
      <c r="E55" s="48">
        <f>$G$2*((VLOOKUP(PA!B55,CIMA_H!$A:$H,8,FALSE)-VLOOKUP(PA!B55+3,CIMA_H!$A:$H,8,FALSE))/(VLOOKUP(PA!B55,CIMA_H!$A:$H,6,FALSE)-VLOOKUP(PA!B55+3,CIMA_H!$A:$H,6,FALSE)))/(1-Param!$E$8-Param!$E$9-Param!$E$10)</f>
        <v>5302981.8046136396</v>
      </c>
      <c r="F55" s="48">
        <f>$G$2*((VLOOKUP(PA!B55,CIMA_H!$A:$H,8,FALSE)-VLOOKUP(PA!B55+4,CIMA_H!$A:$H,8,FALSE))/(VLOOKUP(PA!B55,CIMA_H!$A:$H,6,FALSE)-VLOOKUP(PA!B55+4,CIMA_H!$A:$H,6,FALSE)))/(1-Param!$E$8-Param!$E$9-Param!$E$10)</f>
        <v>5486417.744584729</v>
      </c>
      <c r="G55" s="47">
        <f>$G$2*((VLOOKUP(PA!B55,CIMA_H!$A:$H,8,FALSE)-VLOOKUP(PA!B55+5,CIMA_H!$A:$H,8,FALSE))/(VLOOKUP(PA!B55,CIMA_H!$A:$H,6,FALSE)-VLOOKUP(PA!B55+5,CIMA_H!$A:$H,6,FALSE)))/(1-Param!$E$8-Param!$E$9-Param!$E$10)</f>
        <v>5672797.0114454655</v>
      </c>
      <c r="H55" s="46"/>
    </row>
    <row r="56" spans="2:8" x14ac:dyDescent="0.3">
      <c r="B56" s="49">
        <v>70</v>
      </c>
      <c r="C56" s="48">
        <f>$G$2*((VLOOKUP(PA!B56,CIMA_H!$A:$H,8,FALSE)-VLOOKUP(PA!B56+1,CIMA_H!$A:$H,8,FALSE))/(VLOOKUP(PA!B56,CIMA_H!$A:$H,6,FALSE)-VLOOKUP(PA!B56+1,CIMA_H!$A:$H,6,FALSE)))/(1-Param!$E$8-Param!$E$9-Param!$E$10)</f>
        <v>5309486.0695100641</v>
      </c>
      <c r="D56" s="48">
        <f>$G$2*((VLOOKUP(PA!B56,CIMA_H!$A:$H,8,FALSE)-VLOOKUP(PA!B56+2,CIMA_H!$A:$H,8,FALSE))/(VLOOKUP(PA!B56,CIMA_H!$A:$H,6,FALSE)-VLOOKUP(PA!B56+2,CIMA_H!$A:$H,6,FALSE)))/(1-Param!$E$8-Param!$E$9-Param!$E$10)</f>
        <v>5498309.6357002277</v>
      </c>
      <c r="E56" s="48">
        <f>$G$2*((VLOOKUP(PA!B56,CIMA_H!$A:$H,8,FALSE)-VLOOKUP(PA!B56+3,CIMA_H!$A:$H,8,FALSE))/(VLOOKUP(PA!B56,CIMA_H!$A:$H,6,FALSE)-VLOOKUP(PA!B56+3,CIMA_H!$A:$H,6,FALSE)))/(1-Param!$E$8-Param!$E$9-Param!$E$10)</f>
        <v>5690289.4461014085</v>
      </c>
      <c r="F56" s="48">
        <f>$G$2*((VLOOKUP(PA!B56,CIMA_H!$A:$H,8,FALSE)-VLOOKUP(PA!B56+4,CIMA_H!$A:$H,8,FALSE))/(VLOOKUP(PA!B56,CIMA_H!$A:$H,6,FALSE)-VLOOKUP(PA!B56+4,CIMA_H!$A:$H,6,FALSE)))/(1-Param!$E$8-Param!$E$9-Param!$E$10)</f>
        <v>5885385.848195998</v>
      </c>
      <c r="G56" s="47">
        <f>$G$2*((VLOOKUP(PA!B56,CIMA_H!$A:$H,8,FALSE)-VLOOKUP(PA!B56+5,CIMA_H!$A:$H,8,FALSE))/(VLOOKUP(PA!B56,CIMA_H!$A:$H,6,FALSE)-VLOOKUP(PA!B56+5,CIMA_H!$A:$H,6,FALSE)))/(1-Param!$E$8-Param!$E$9-Param!$E$10)</f>
        <v>6084136.0611622669</v>
      </c>
      <c r="H56" s="46"/>
    </row>
  </sheetData>
  <mergeCells count="2">
    <mergeCell ref="B4:B5"/>
    <mergeCell ref="C4:G4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5" tint="-0.249977111117893"/>
  </sheetPr>
  <dimension ref="A1:H109"/>
  <sheetViews>
    <sheetView showGridLines="0" zoomScale="80" zoomScaleNormal="80" workbookViewId="0">
      <selection activeCell="F2" sqref="F2"/>
    </sheetView>
  </sheetViews>
  <sheetFormatPr baseColWidth="10" defaultRowHeight="14.4" x14ac:dyDescent="0.3"/>
  <cols>
    <col min="2" max="2" width="13.77734375" bestFit="1" customWidth="1"/>
    <col min="3" max="3" width="12.77734375" bestFit="1" customWidth="1"/>
    <col min="6" max="6" width="12.44140625" bestFit="1" customWidth="1"/>
  </cols>
  <sheetData>
    <row r="1" spans="1:8" ht="48.45" customHeight="1" x14ac:dyDescent="0.3">
      <c r="A1" s="13" t="s">
        <v>9</v>
      </c>
      <c r="B1" s="13" t="s">
        <v>18</v>
      </c>
      <c r="C1" s="13" t="s">
        <v>19</v>
      </c>
      <c r="D1" s="14"/>
      <c r="E1" s="14"/>
      <c r="F1" s="14"/>
      <c r="G1" s="14"/>
      <c r="H1" s="14"/>
    </row>
    <row r="2" spans="1:8" ht="28.05" customHeight="1" x14ac:dyDescent="0.3">
      <c r="A2" s="15" t="s">
        <v>0</v>
      </c>
      <c r="B2" s="15" t="s">
        <v>1</v>
      </c>
      <c r="C2" s="15" t="s">
        <v>2</v>
      </c>
      <c r="D2" s="16" t="s">
        <v>3</v>
      </c>
      <c r="E2" s="16" t="s">
        <v>4</v>
      </c>
      <c r="F2" s="17" t="s">
        <v>5</v>
      </c>
      <c r="G2" s="17" t="s">
        <v>6</v>
      </c>
      <c r="H2" s="17" t="s">
        <v>7</v>
      </c>
    </row>
    <row r="3" spans="1:8" x14ac:dyDescent="0.3">
      <c r="A3" s="6">
        <v>0</v>
      </c>
      <c r="B3" s="6">
        <v>1000000</v>
      </c>
      <c r="C3" s="6">
        <v>5368</v>
      </c>
      <c r="D3" s="7">
        <v>5.3680000000000004E-3</v>
      </c>
      <c r="E3" s="8">
        <v>1000000</v>
      </c>
      <c r="F3" s="9">
        <v>26565816.048511174</v>
      </c>
      <c r="G3" s="9">
        <v>5186.4734299516913</v>
      </c>
      <c r="H3" s="9">
        <v>101639.07082329562</v>
      </c>
    </row>
    <row r="4" spans="1:8" x14ac:dyDescent="0.3">
      <c r="A4" s="6">
        <v>1</v>
      </c>
      <c r="B4" s="6">
        <v>994632</v>
      </c>
      <c r="C4" s="6">
        <v>726</v>
      </c>
      <c r="D4" s="7">
        <v>7.2991820090244428E-4</v>
      </c>
      <c r="E4" s="4">
        <v>960997.10144927539</v>
      </c>
      <c r="F4" s="5">
        <v>25565816.04851117</v>
      </c>
      <c r="G4" s="5">
        <v>677.72876846600866</v>
      </c>
      <c r="H4" s="5">
        <v>96452.597393343924</v>
      </c>
    </row>
    <row r="5" spans="1:8" x14ac:dyDescent="0.3">
      <c r="A5" s="6">
        <v>2</v>
      </c>
      <c r="B5" s="6">
        <v>993906</v>
      </c>
      <c r="C5" s="6">
        <v>555</v>
      </c>
      <c r="D5" s="7">
        <v>5.5840290731719094E-4</v>
      </c>
      <c r="E5" s="4">
        <v>927821.88615837018</v>
      </c>
      <c r="F5" s="5">
        <v>24604818.947061896</v>
      </c>
      <c r="G5" s="5">
        <v>500.57820164575242</v>
      </c>
      <c r="H5" s="5">
        <v>95774.868624877912</v>
      </c>
    </row>
    <row r="6" spans="1:8" x14ac:dyDescent="0.3">
      <c r="A6" s="6">
        <v>3</v>
      </c>
      <c r="B6" s="6">
        <v>993351</v>
      </c>
      <c r="C6" s="6">
        <v>473</v>
      </c>
      <c r="D6" s="7">
        <v>4.7616602791963767E-4</v>
      </c>
      <c r="E6" s="4">
        <v>895945.68861803564</v>
      </c>
      <c r="F6" s="5">
        <v>23676997.060903519</v>
      </c>
      <c r="G6" s="5">
        <v>412.19217370142474</v>
      </c>
      <c r="H6" s="5">
        <v>95274.29042323216</v>
      </c>
    </row>
    <row r="7" spans="1:8" x14ac:dyDescent="0.3">
      <c r="A7" s="6">
        <v>4</v>
      </c>
      <c r="B7" s="6">
        <v>992878</v>
      </c>
      <c r="C7" s="6">
        <v>404</v>
      </c>
      <c r="D7" s="7">
        <v>4.0689792703635288E-4</v>
      </c>
      <c r="E7" s="4">
        <v>865235.81615290313</v>
      </c>
      <c r="F7" s="5">
        <v>22781051.372285482</v>
      </c>
      <c r="G7" s="5">
        <v>340.15715941084375</v>
      </c>
      <c r="H7" s="5">
        <v>94862.09824953074</v>
      </c>
    </row>
    <row r="8" spans="1:8" x14ac:dyDescent="0.3">
      <c r="A8" s="6">
        <v>5</v>
      </c>
      <c r="B8" s="6">
        <v>992474</v>
      </c>
      <c r="C8" s="6">
        <v>369</v>
      </c>
      <c r="D8" s="7">
        <v>3.7179815289871572E-4</v>
      </c>
      <c r="E8" s="4">
        <v>835636.4768047469</v>
      </c>
      <c r="F8" s="5">
        <v>21915815.556132577</v>
      </c>
      <c r="G8" s="5">
        <v>300.1817377495608</v>
      </c>
      <c r="H8" s="5">
        <v>94521.941090119886</v>
      </c>
    </row>
    <row r="9" spans="1:8" x14ac:dyDescent="0.3">
      <c r="A9" s="6">
        <v>6</v>
      </c>
      <c r="B9" s="6">
        <v>992105</v>
      </c>
      <c r="C9" s="6">
        <v>332</v>
      </c>
      <c r="D9" s="7">
        <v>3.3464199857877945E-4</v>
      </c>
      <c r="E9" s="4">
        <v>807078.05672094307</v>
      </c>
      <c r="F9" s="5">
        <v>21080179.079327837</v>
      </c>
      <c r="G9" s="5">
        <v>260.94899894702797</v>
      </c>
      <c r="H9" s="5">
        <v>94221.75935237034</v>
      </c>
    </row>
    <row r="10" spans="1:8" x14ac:dyDescent="0.3">
      <c r="A10" s="6">
        <v>7</v>
      </c>
      <c r="B10" s="6">
        <v>991773</v>
      </c>
      <c r="C10" s="6">
        <v>313</v>
      </c>
      <c r="D10" s="7">
        <v>3.1559641167888214E-4</v>
      </c>
      <c r="E10" s="4">
        <v>779524.6130502735</v>
      </c>
      <c r="F10" s="5">
        <v>20273101.022606898</v>
      </c>
      <c r="G10" s="5">
        <v>237.69581709568638</v>
      </c>
      <c r="H10" s="5">
        <v>93960.810353423294</v>
      </c>
    </row>
    <row r="11" spans="1:8" x14ac:dyDescent="0.3">
      <c r="A11" s="6">
        <v>8</v>
      </c>
      <c r="B11" s="6">
        <v>991460</v>
      </c>
      <c r="C11" s="6">
        <v>313</v>
      </c>
      <c r="D11" s="7">
        <v>3.1569604421761847E-4</v>
      </c>
      <c r="E11" s="4">
        <v>752926.18152616383</v>
      </c>
      <c r="F11" s="5">
        <v>19493576.409556624</v>
      </c>
      <c r="G11" s="5">
        <v>229.65779429534919</v>
      </c>
      <c r="H11" s="5">
        <v>93723.11453632763</v>
      </c>
    </row>
    <row r="12" spans="1:8" x14ac:dyDescent="0.3">
      <c r="A12" s="6">
        <v>9</v>
      </c>
      <c r="B12" s="6">
        <v>991147</v>
      </c>
      <c r="C12" s="6">
        <v>294</v>
      </c>
      <c r="D12" s="7">
        <v>2.9662603024576577E-4</v>
      </c>
      <c r="E12" s="4">
        <v>727235.25189281953</v>
      </c>
      <c r="F12" s="5">
        <v>18740650.228030462</v>
      </c>
      <c r="G12" s="5">
        <v>208.42213123067299</v>
      </c>
      <c r="H12" s="5">
        <v>93493.456742032286</v>
      </c>
    </row>
    <row r="13" spans="1:8" x14ac:dyDescent="0.3">
      <c r="A13" s="6">
        <v>10</v>
      </c>
      <c r="B13" s="6">
        <v>990853</v>
      </c>
      <c r="C13" s="6">
        <v>312</v>
      </c>
      <c r="D13" s="7">
        <v>3.1488020927423137E-4</v>
      </c>
      <c r="E13" s="4">
        <v>702434.3333207689</v>
      </c>
      <c r="F13" s="5">
        <v>18013414.976137642</v>
      </c>
      <c r="G13" s="5">
        <v>213.7030626835255</v>
      </c>
      <c r="H13" s="5">
        <v>93285.034610801609</v>
      </c>
    </row>
    <row r="14" spans="1:8" x14ac:dyDescent="0.3">
      <c r="A14" s="6">
        <v>11</v>
      </c>
      <c r="B14" s="6">
        <v>990541</v>
      </c>
      <c r="C14" s="6">
        <v>313</v>
      </c>
      <c r="D14" s="7">
        <v>3.1598893937757248E-4</v>
      </c>
      <c r="E14" s="4">
        <v>678466.81222308357</v>
      </c>
      <c r="F14" s="5">
        <v>17310980.642816871</v>
      </c>
      <c r="G14" s="5">
        <v>207.13817236449736</v>
      </c>
      <c r="H14" s="5">
        <v>93071.331548118091</v>
      </c>
    </row>
    <row r="15" spans="1:8" x14ac:dyDescent="0.3">
      <c r="A15" s="6">
        <v>12</v>
      </c>
      <c r="B15" s="6">
        <v>990228</v>
      </c>
      <c r="C15" s="6">
        <v>368</v>
      </c>
      <c r="D15" s="7">
        <v>3.7163158383725771E-4</v>
      </c>
      <c r="E15" s="4">
        <v>655316.35189824773</v>
      </c>
      <c r="F15" s="5">
        <v>16632513.830593791</v>
      </c>
      <c r="G15" s="5">
        <v>235.30072828057916</v>
      </c>
      <c r="H15" s="5">
        <v>92864.193375753588</v>
      </c>
    </row>
    <row r="16" spans="1:8" x14ac:dyDescent="0.3">
      <c r="A16" s="6">
        <v>13</v>
      </c>
      <c r="B16" s="6">
        <v>989860</v>
      </c>
      <c r="C16" s="6">
        <v>438</v>
      </c>
      <c r="D16" s="7">
        <v>4.4248681631745901E-4</v>
      </c>
      <c r="E16" s="4">
        <v>632920.59482558188</v>
      </c>
      <c r="F16" s="5">
        <v>15977197.478695543</v>
      </c>
      <c r="G16" s="5">
        <v>270.58842414118277</v>
      </c>
      <c r="H16" s="5">
        <v>92628.892647472996</v>
      </c>
    </row>
    <row r="17" spans="1:8" x14ac:dyDescent="0.3">
      <c r="A17" s="6">
        <v>14</v>
      </c>
      <c r="B17" s="6">
        <v>989422</v>
      </c>
      <c r="C17" s="6">
        <v>538</v>
      </c>
      <c r="D17" s="7">
        <v>5.4375180661032398E-4</v>
      </c>
      <c r="E17" s="4">
        <v>611246.89449912647</v>
      </c>
      <c r="F17" s="5">
        <v>15344276.883869961</v>
      </c>
      <c r="G17" s="5">
        <v>321.127152820145</v>
      </c>
      <c r="H17" s="5">
        <v>92358.304223331827</v>
      </c>
    </row>
    <row r="18" spans="1:8" x14ac:dyDescent="0.3">
      <c r="A18" s="6">
        <v>15</v>
      </c>
      <c r="B18" s="6">
        <v>988884</v>
      </c>
      <c r="C18" s="6">
        <v>708</v>
      </c>
      <c r="D18" s="7">
        <v>7.1595859575036098E-4</v>
      </c>
      <c r="E18" s="4">
        <v>590255.58250817168</v>
      </c>
      <c r="F18" s="5">
        <v>14733029.989370838</v>
      </c>
      <c r="G18" s="5">
        <v>408.30778549406944</v>
      </c>
      <c r="H18" s="5">
        <v>92037.17707051168</v>
      </c>
    </row>
    <row r="19" spans="1:8" x14ac:dyDescent="0.3">
      <c r="A19" s="6">
        <v>16</v>
      </c>
      <c r="B19" s="6">
        <v>988176</v>
      </c>
      <c r="C19" s="6">
        <v>897</v>
      </c>
      <c r="D19" s="7">
        <v>9.0773303541069605E-4</v>
      </c>
      <c r="E19" s="4">
        <v>569886.94101467181</v>
      </c>
      <c r="F19" s="5">
        <v>14142774.406862665</v>
      </c>
      <c r="G19" s="5">
        <v>499.81179015281577</v>
      </c>
      <c r="H19" s="5">
        <v>91628.86928501763</v>
      </c>
    </row>
    <row r="20" spans="1:8" x14ac:dyDescent="0.3">
      <c r="A20" s="6">
        <v>17</v>
      </c>
      <c r="B20" s="6">
        <v>987279</v>
      </c>
      <c r="C20" s="6">
        <v>1113</v>
      </c>
      <c r="D20" s="7">
        <v>1.1273409036351427E-3</v>
      </c>
      <c r="E20" s="4">
        <v>550115.5901563901</v>
      </c>
      <c r="F20" s="5">
        <v>13572887.465847993</v>
      </c>
      <c r="G20" s="5">
        <v>599.19594831950189</v>
      </c>
      <c r="H20" s="5">
        <v>91129.057494864799</v>
      </c>
    </row>
    <row r="21" spans="1:8" x14ac:dyDescent="0.3">
      <c r="A21" s="6">
        <v>18</v>
      </c>
      <c r="B21" s="6">
        <v>986166</v>
      </c>
      <c r="C21" s="6">
        <v>1318</v>
      </c>
      <c r="D21" s="7">
        <v>1.3364889886692505E-3</v>
      </c>
      <c r="E21" s="4">
        <v>530913.45154577715</v>
      </c>
      <c r="F21" s="5">
        <v>13022771.875691602</v>
      </c>
      <c r="G21" s="5">
        <v>685.56519992977474</v>
      </c>
      <c r="H21" s="5">
        <v>90529.861546545289</v>
      </c>
    </row>
    <row r="22" spans="1:8" x14ac:dyDescent="0.3">
      <c r="A22" s="6">
        <v>19</v>
      </c>
      <c r="B22" s="6">
        <v>984848</v>
      </c>
      <c r="C22" s="6">
        <v>1466</v>
      </c>
      <c r="D22" s="7">
        <v>1.4885545789807158E-3</v>
      </c>
      <c r="E22" s="4">
        <v>512274.29136603855</v>
      </c>
      <c r="F22" s="5">
        <v>12491858.424145825</v>
      </c>
      <c r="G22" s="5">
        <v>736.7615865768289</v>
      </c>
      <c r="H22" s="5">
        <v>89844.29634661552</v>
      </c>
    </row>
    <row r="23" spans="1:8" x14ac:dyDescent="0.3">
      <c r="A23" s="6">
        <v>20</v>
      </c>
      <c r="B23" s="6">
        <v>983382</v>
      </c>
      <c r="C23" s="6">
        <v>1552</v>
      </c>
      <c r="D23" s="7">
        <v>1.5782269758852613E-3</v>
      </c>
      <c r="E23" s="4">
        <v>494214.24456418509</v>
      </c>
      <c r="F23" s="5">
        <v>11979584.132779785</v>
      </c>
      <c r="G23" s="5">
        <v>753.60604119608956</v>
      </c>
      <c r="H23" s="5">
        <v>89107.534760038689</v>
      </c>
    </row>
    <row r="24" spans="1:8" x14ac:dyDescent="0.3">
      <c r="A24" s="6">
        <v>21</v>
      </c>
      <c r="B24" s="6">
        <v>981830</v>
      </c>
      <c r="C24" s="6">
        <v>1603</v>
      </c>
      <c r="D24" s="7">
        <v>1.6326655327296986E-3</v>
      </c>
      <c r="E24" s="4">
        <v>476748.07952806493</v>
      </c>
      <c r="F24" s="5">
        <v>11485369.8882156</v>
      </c>
      <c r="G24" s="5">
        <v>752.04846110197946</v>
      </c>
      <c r="H24" s="5">
        <v>88353.92871884261</v>
      </c>
    </row>
    <row r="25" spans="1:8" x14ac:dyDescent="0.3">
      <c r="A25" s="6">
        <v>22</v>
      </c>
      <c r="B25" s="6">
        <v>980227</v>
      </c>
      <c r="C25" s="6">
        <v>1631</v>
      </c>
      <c r="D25" s="7">
        <v>1.6639003006446466E-3</v>
      </c>
      <c r="E25" s="4">
        <v>459874.11533412983</v>
      </c>
      <c r="F25" s="5">
        <v>11008621.808687536</v>
      </c>
      <c r="G25" s="5">
        <v>739.30886837019284</v>
      </c>
      <c r="H25" s="5">
        <v>87601.880257740617</v>
      </c>
    </row>
    <row r="26" spans="1:8" x14ac:dyDescent="0.3">
      <c r="A26" s="6">
        <v>23</v>
      </c>
      <c r="B26" s="6">
        <v>978596</v>
      </c>
      <c r="C26" s="6">
        <v>1653</v>
      </c>
      <c r="D26" s="7">
        <v>1.6891546664813673E-3</v>
      </c>
      <c r="E26" s="4">
        <v>443583.50787958142</v>
      </c>
      <c r="F26" s="5">
        <v>10548747.693353407</v>
      </c>
      <c r="G26" s="5">
        <v>723.94314232750628</v>
      </c>
      <c r="H26" s="5">
        <v>86862.571389370423</v>
      </c>
    </row>
    <row r="27" spans="1:8" x14ac:dyDescent="0.3">
      <c r="A27" s="6">
        <v>24</v>
      </c>
      <c r="B27" s="6">
        <v>976943</v>
      </c>
      <c r="C27" s="6">
        <v>1681</v>
      </c>
      <c r="D27" s="7">
        <v>1.720673570515373E-3</v>
      </c>
      <c r="E27" s="4">
        <v>427859.15625823429</v>
      </c>
      <c r="F27" s="5">
        <v>10105164.185473824</v>
      </c>
      <c r="G27" s="5">
        <v>711.31008896285095</v>
      </c>
      <c r="H27" s="5">
        <v>86138.628247042929</v>
      </c>
    </row>
    <row r="28" spans="1:8" x14ac:dyDescent="0.3">
      <c r="A28" s="6">
        <v>25</v>
      </c>
      <c r="B28" s="6">
        <v>975262</v>
      </c>
      <c r="C28" s="6">
        <v>1710</v>
      </c>
      <c r="D28" s="7">
        <v>1.7533749905153692E-3</v>
      </c>
      <c r="E28" s="4">
        <v>412679.1790494278</v>
      </c>
      <c r="F28" s="5">
        <v>9677305.029215591</v>
      </c>
      <c r="G28" s="5">
        <v>699.11241705476391</v>
      </c>
      <c r="H28" s="5">
        <v>85427.318158080088</v>
      </c>
    </row>
    <row r="29" spans="1:8" x14ac:dyDescent="0.3">
      <c r="A29" s="6">
        <v>26</v>
      </c>
      <c r="B29" s="6">
        <v>973552</v>
      </c>
      <c r="C29" s="6">
        <v>1752</v>
      </c>
      <c r="D29" s="7">
        <v>1.799595707265765E-3</v>
      </c>
      <c r="E29" s="4">
        <v>398024.73207514599</v>
      </c>
      <c r="F29" s="5">
        <v>9264625.8501661643</v>
      </c>
      <c r="G29" s="5">
        <v>692.06144852950615</v>
      </c>
      <c r="H29" s="5">
        <v>84728.205741025318</v>
      </c>
    </row>
    <row r="30" spans="1:8" x14ac:dyDescent="0.3">
      <c r="A30" s="6">
        <v>27</v>
      </c>
      <c r="B30" s="6">
        <v>971800</v>
      </c>
      <c r="C30" s="6">
        <v>1796</v>
      </c>
      <c r="D30" s="7">
        <v>1.8481168964807574E-3</v>
      </c>
      <c r="E30" s="4">
        <v>383872.89707818168</v>
      </c>
      <c r="F30" s="5">
        <v>8866601.1180910151</v>
      </c>
      <c r="G30" s="5">
        <v>685.45119535382241</v>
      </c>
      <c r="H30" s="5">
        <v>84036.14429249581</v>
      </c>
    </row>
    <row r="31" spans="1:8" x14ac:dyDescent="0.3">
      <c r="A31" s="6">
        <v>28</v>
      </c>
      <c r="B31" s="6">
        <v>970004</v>
      </c>
      <c r="C31" s="6">
        <v>1838</v>
      </c>
      <c r="D31" s="7">
        <v>1.8948375470616615E-3</v>
      </c>
      <c r="E31" s="4">
        <v>370206.23680288933</v>
      </c>
      <c r="F31" s="5">
        <v>8482728.2210128345</v>
      </c>
      <c r="G31" s="5">
        <v>677.75910884107748</v>
      </c>
      <c r="H31" s="5">
        <v>83350.693097141979</v>
      </c>
    </row>
    <row r="32" spans="1:8" x14ac:dyDescent="0.3">
      <c r="A32" s="6">
        <v>29</v>
      </c>
      <c r="B32" s="6">
        <v>968166</v>
      </c>
      <c r="C32" s="6">
        <v>1885</v>
      </c>
      <c r="D32" s="7">
        <v>1.9469801666243186E-3</v>
      </c>
      <c r="E32" s="4">
        <v>357009.42620796023</v>
      </c>
      <c r="F32" s="5">
        <v>8112521.9842099436</v>
      </c>
      <c r="G32" s="5">
        <v>671.5848039853397</v>
      </c>
      <c r="H32" s="5">
        <v>82672.933988300894</v>
      </c>
    </row>
    <row r="33" spans="1:8" x14ac:dyDescent="0.3">
      <c r="A33" s="10">
        <v>30</v>
      </c>
      <c r="B33" s="10">
        <v>966281</v>
      </c>
      <c r="C33" s="10">
        <v>1927</v>
      </c>
      <c r="D33" s="7">
        <v>1.9942439104152932E-3</v>
      </c>
      <c r="E33" s="11">
        <v>344265.05887520331</v>
      </c>
      <c r="F33" s="12">
        <v>7755512.5580019839</v>
      </c>
      <c r="G33" s="12">
        <v>663.33188138225751</v>
      </c>
      <c r="H33" s="12">
        <v>82001.349184315564</v>
      </c>
    </row>
    <row r="34" spans="1:8" x14ac:dyDescent="0.3">
      <c r="A34" s="6">
        <v>31</v>
      </c>
      <c r="B34" s="6">
        <v>964354</v>
      </c>
      <c r="C34" s="6">
        <v>1964</v>
      </c>
      <c r="D34" s="7">
        <v>2.0365965195353573E-3</v>
      </c>
      <c r="E34" s="4">
        <v>331959.91340866929</v>
      </c>
      <c r="F34" s="5">
        <v>7411247.4991267798</v>
      </c>
      <c r="G34" s="5">
        <v>653.20618770372403</v>
      </c>
      <c r="H34" s="5">
        <v>81338.017302933295</v>
      </c>
    </row>
    <row r="35" spans="1:8" x14ac:dyDescent="0.3">
      <c r="A35" s="6">
        <v>32</v>
      </c>
      <c r="B35" s="6">
        <v>962390</v>
      </c>
      <c r="C35" s="6">
        <v>2028</v>
      </c>
      <c r="D35" s="7">
        <v>1.2268317227758082E-3</v>
      </c>
      <c r="E35" s="4">
        <v>320081.00966608309</v>
      </c>
      <c r="F35" s="5">
        <v>7079287.5857181093</v>
      </c>
      <c r="G35" s="5">
        <v>379.40631547484128</v>
      </c>
      <c r="H35" s="5">
        <v>80684.811115229575</v>
      </c>
    </row>
    <row r="36" spans="1:8" x14ac:dyDescent="0.3">
      <c r="A36" s="6">
        <v>33</v>
      </c>
      <c r="B36" s="6">
        <v>960362</v>
      </c>
      <c r="C36" s="6">
        <v>2118</v>
      </c>
      <c r="D36" s="7">
        <v>2.2034742893633874E-3</v>
      </c>
      <c r="E36" s="4">
        <v>308605.33114688745</v>
      </c>
      <c r="F36" s="5">
        <v>6759206.5760520268</v>
      </c>
      <c r="G36" s="5">
        <v>657.5882777466627</v>
      </c>
      <c r="H36" s="5">
        <v>80033.128091988459</v>
      </c>
    </row>
    <row r="37" spans="1:8" x14ac:dyDescent="0.3">
      <c r="A37" s="6">
        <v>34</v>
      </c>
      <c r="B37" s="6">
        <v>958244</v>
      </c>
      <c r="C37" s="6">
        <v>2244</v>
      </c>
      <c r="D37" s="7">
        <v>2.3397146632065415E-3</v>
      </c>
      <c r="E37" s="4">
        <v>297511.81379654078</v>
      </c>
      <c r="F37" s="5">
        <v>6450601.2449051393</v>
      </c>
      <c r="G37" s="5">
        <v>673.14807756087066</v>
      </c>
      <c r="H37" s="5">
        <v>79375.539814241783</v>
      </c>
    </row>
    <row r="38" spans="1:8" x14ac:dyDescent="0.3">
      <c r="A38" s="6">
        <v>35</v>
      </c>
      <c r="B38" s="6">
        <v>956000</v>
      </c>
      <c r="C38" s="6">
        <v>2368</v>
      </c>
      <c r="D38" s="7">
        <v>1.8217880250564118E-3</v>
      </c>
      <c r="E38" s="4">
        <v>286777.8797451838</v>
      </c>
      <c r="F38" s="5">
        <v>6153089.4311085986</v>
      </c>
      <c r="G38" s="5">
        <v>505.22855739093876</v>
      </c>
      <c r="H38" s="5">
        <v>78702.391736680918</v>
      </c>
    </row>
    <row r="39" spans="1:8" x14ac:dyDescent="0.3">
      <c r="A39" s="6">
        <v>36</v>
      </c>
      <c r="B39" s="6">
        <v>953632</v>
      </c>
      <c r="C39" s="6">
        <v>2516</v>
      </c>
      <c r="D39" s="7">
        <v>2.6342677243094774E-3</v>
      </c>
      <c r="E39" s="4">
        <v>276393.75317563035</v>
      </c>
      <c r="F39" s="5">
        <v>5866311.5513634132</v>
      </c>
      <c r="G39" s="5">
        <v>704.5595313140426</v>
      </c>
      <c r="H39" s="5">
        <v>78016.067863824399</v>
      </c>
    </row>
    <row r="40" spans="1:8" x14ac:dyDescent="0.3">
      <c r="A40" s="10">
        <v>37</v>
      </c>
      <c r="B40" s="10">
        <v>951116</v>
      </c>
      <c r="C40" s="10">
        <v>2671</v>
      </c>
      <c r="D40" s="7">
        <v>2.2222354704343737E-3</v>
      </c>
      <c r="E40" s="11">
        <v>266342.5449862032</v>
      </c>
      <c r="F40" s="12">
        <v>5589917.7981877849</v>
      </c>
      <c r="G40" s="12">
        <v>572.74585085792978</v>
      </c>
      <c r="H40" s="12">
        <v>77311.508332510362</v>
      </c>
    </row>
    <row r="41" spans="1:8" x14ac:dyDescent="0.3">
      <c r="A41" s="6">
        <v>38</v>
      </c>
      <c r="B41" s="6">
        <v>948445</v>
      </c>
      <c r="C41" s="6">
        <v>2849</v>
      </c>
      <c r="D41" s="7">
        <v>2.7051536730033454E-3</v>
      </c>
      <c r="E41" s="4">
        <v>256613.12130947347</v>
      </c>
      <c r="F41" s="5">
        <v>5323575.2532015815</v>
      </c>
      <c r="G41" s="5">
        <v>672.13620470312583</v>
      </c>
      <c r="H41" s="5">
        <v>76588.837384782659</v>
      </c>
    </row>
    <row r="42" spans="1:8" x14ac:dyDescent="0.3">
      <c r="A42" s="6">
        <v>39</v>
      </c>
      <c r="B42" s="6">
        <v>945596</v>
      </c>
      <c r="C42" s="6">
        <v>3057</v>
      </c>
      <c r="D42" s="7">
        <v>3.2250234288456929E-3</v>
      </c>
      <c r="E42" s="4">
        <v>247190.61868215146</v>
      </c>
      <c r="F42" s="5">
        <v>5066962.1318921084</v>
      </c>
      <c r="G42" s="5">
        <v>772.11403527085304</v>
      </c>
      <c r="H42" s="5">
        <v>75844.073159230262</v>
      </c>
    </row>
    <row r="43" spans="1:8" x14ac:dyDescent="0.3">
      <c r="A43" s="10">
        <v>40</v>
      </c>
      <c r="B43" s="10">
        <v>942539</v>
      </c>
      <c r="C43" s="10">
        <v>3296</v>
      </c>
      <c r="D43" s="7">
        <v>3.4884099097647592E-3</v>
      </c>
      <c r="E43" s="11">
        <v>238059.4015996581</v>
      </c>
      <c r="F43" s="12">
        <v>4819771.5132099576</v>
      </c>
      <c r="G43" s="12">
        <v>804.32739629889795</v>
      </c>
      <c r="H43" s="12">
        <v>75071.959123959401</v>
      </c>
    </row>
    <row r="44" spans="1:8" x14ac:dyDescent="0.3">
      <c r="A44" s="6">
        <v>41</v>
      </c>
      <c r="B44" s="6">
        <v>939243</v>
      </c>
      <c r="C44" s="6">
        <v>3584</v>
      </c>
      <c r="D44" s="7">
        <v>3.4781867549534863E-3</v>
      </c>
      <c r="E44" s="4">
        <v>229204.75627486838</v>
      </c>
      <c r="F44" s="5">
        <v>4581712.111610299</v>
      </c>
      <c r="G44" s="5">
        <v>772.14746739630209</v>
      </c>
      <c r="H44" s="5">
        <v>74267.631727660511</v>
      </c>
    </row>
    <row r="45" spans="1:8" x14ac:dyDescent="0.3">
      <c r="A45" s="6">
        <v>42</v>
      </c>
      <c r="B45" s="6">
        <v>935659</v>
      </c>
      <c r="C45" s="6">
        <v>3877</v>
      </c>
      <c r="D45" s="7">
        <v>4.1320631078383954E-3</v>
      </c>
      <c r="E45" s="4">
        <v>220608.83849656177</v>
      </c>
      <c r="F45" s="5">
        <v>4352507.3553354312</v>
      </c>
      <c r="G45" s="5">
        <v>883.20345623580272</v>
      </c>
      <c r="H45" s="5">
        <v>73422.599427247987</v>
      </c>
    </row>
    <row r="46" spans="1:8" x14ac:dyDescent="0.3">
      <c r="A46" s="6">
        <v>43</v>
      </c>
      <c r="B46" s="6">
        <v>931782</v>
      </c>
      <c r="C46" s="6">
        <v>4194</v>
      </c>
      <c r="D46" s="7">
        <v>4.4884647714272374E-3</v>
      </c>
      <c r="E46" s="4">
        <v>212265.43277232634</v>
      </c>
      <c r="F46" s="5">
        <v>4131898.5168388714</v>
      </c>
      <c r="G46" s="5">
        <v>923.10910633700223</v>
      </c>
      <c r="H46" s="5">
        <v>72539.395971012185</v>
      </c>
    </row>
    <row r="47" spans="1:8" x14ac:dyDescent="0.3">
      <c r="A47" s="6">
        <v>44</v>
      </c>
      <c r="B47" s="6">
        <v>927588</v>
      </c>
      <c r="C47" s="6">
        <v>4523</v>
      </c>
      <c r="D47" s="7">
        <v>4.4626635207352877E-3</v>
      </c>
      <c r="E47" s="4">
        <v>204164.26555291552</v>
      </c>
      <c r="F47" s="5">
        <v>3919633.0840665451</v>
      </c>
      <c r="G47" s="5">
        <v>882.78572948386034</v>
      </c>
      <c r="H47" s="5">
        <v>71616.286864675189</v>
      </c>
    </row>
    <row r="48" spans="1:8" x14ac:dyDescent="0.3">
      <c r="A48" s="6">
        <v>45</v>
      </c>
      <c r="B48" s="6">
        <v>923065</v>
      </c>
      <c r="C48" s="6">
        <v>4866</v>
      </c>
      <c r="D48" s="7">
        <v>5.254575666469908E-3</v>
      </c>
      <c r="E48" s="4">
        <v>196298.30220788505</v>
      </c>
      <c r="F48" s="5">
        <v>3715468.8185136295</v>
      </c>
      <c r="G48" s="5">
        <v>999.80663406164706</v>
      </c>
      <c r="H48" s="5">
        <v>70654.429118052503</v>
      </c>
    </row>
    <row r="49" spans="1:8" x14ac:dyDescent="0.3">
      <c r="A49" s="6">
        <v>46</v>
      </c>
      <c r="B49" s="6">
        <v>918199</v>
      </c>
      <c r="C49" s="6">
        <v>5200</v>
      </c>
      <c r="D49" s="7">
        <v>5.6449089224037347E-3</v>
      </c>
      <c r="E49" s="4">
        <v>188660.38873587563</v>
      </c>
      <c r="F49" s="5">
        <v>3519170.5163057442</v>
      </c>
      <c r="G49" s="5">
        <v>1032.3023199764441</v>
      </c>
      <c r="H49" s="5">
        <v>69654.622483990854</v>
      </c>
    </row>
    <row r="50" spans="1:8" x14ac:dyDescent="0.3">
      <c r="A50" s="6">
        <v>47</v>
      </c>
      <c r="B50" s="6">
        <v>912999</v>
      </c>
      <c r="C50" s="6">
        <v>5515</v>
      </c>
      <c r="D50" s="7">
        <v>6.0208472704498155E-3</v>
      </c>
      <c r="E50" s="4">
        <v>181248.26650695654</v>
      </c>
      <c r="F50" s="5">
        <v>3330510.1275698687</v>
      </c>
      <c r="G50" s="5">
        <v>1057.8125779766053</v>
      </c>
      <c r="H50" s="5">
        <v>68622.320164014411</v>
      </c>
    </row>
    <row r="51" spans="1:8" x14ac:dyDescent="0.3">
      <c r="A51" s="6">
        <v>48</v>
      </c>
      <c r="B51" s="6">
        <v>907484</v>
      </c>
      <c r="C51" s="6">
        <v>5815</v>
      </c>
      <c r="D51" s="7">
        <v>6.3868179498290959E-3</v>
      </c>
      <c r="E51" s="4">
        <v>174061.28549637753</v>
      </c>
      <c r="F51" s="5">
        <v>3149261.8610629118</v>
      </c>
      <c r="G51" s="5">
        <v>1077.6372109326712</v>
      </c>
      <c r="H51" s="5">
        <v>67564.507586037813</v>
      </c>
    </row>
    <row r="52" spans="1:8" x14ac:dyDescent="0.3">
      <c r="A52" s="6">
        <v>49</v>
      </c>
      <c r="B52" s="6">
        <v>901669</v>
      </c>
      <c r="C52" s="6">
        <v>6108</v>
      </c>
      <c r="D52" s="7">
        <v>6.2232809879665396E-3</v>
      </c>
      <c r="E52" s="4">
        <v>167097.51785803118</v>
      </c>
      <c r="F52" s="5">
        <v>2975200.5755665335</v>
      </c>
      <c r="G52" s="5">
        <v>1008.0555083483149</v>
      </c>
      <c r="H52" s="5">
        <v>66486.870375105136</v>
      </c>
    </row>
    <row r="53" spans="1:8" x14ac:dyDescent="0.3">
      <c r="A53" s="6">
        <v>50</v>
      </c>
      <c r="B53" s="6">
        <v>895561</v>
      </c>
      <c r="C53" s="6">
        <v>6395</v>
      </c>
      <c r="D53" s="7">
        <v>7.1132685314651365E-3</v>
      </c>
      <c r="E53" s="4">
        <v>160353.21914589946</v>
      </c>
      <c r="F53" s="5">
        <v>2808103.0577085023</v>
      </c>
      <c r="G53" s="5">
        <v>1106.3249566262768</v>
      </c>
      <c r="H53" s="5">
        <v>65393.212363486527</v>
      </c>
    </row>
    <row r="54" spans="1:8" x14ac:dyDescent="0.3">
      <c r="A54" s="6">
        <v>51</v>
      </c>
      <c r="B54" s="6">
        <v>889166</v>
      </c>
      <c r="C54" s="6">
        <v>6704</v>
      </c>
      <c r="D54" s="7">
        <v>6.8959279578454302E-3</v>
      </c>
      <c r="E54" s="4">
        <v>153824.32156115098</v>
      </c>
      <c r="F54" s="5">
        <v>2647749.8385626036</v>
      </c>
      <c r="G54" s="5">
        <v>1028.8820211552381</v>
      </c>
      <c r="H54" s="5">
        <v>64286.887406860253</v>
      </c>
    </row>
    <row r="55" spans="1:8" x14ac:dyDescent="0.3">
      <c r="A55" s="6">
        <v>52</v>
      </c>
      <c r="B55" s="6">
        <v>882462</v>
      </c>
      <c r="C55" s="6">
        <v>7027</v>
      </c>
      <c r="D55" s="7">
        <v>7.9269138638049727E-3</v>
      </c>
      <c r="E55" s="4">
        <v>147501.97110126619</v>
      </c>
      <c r="F55" s="5">
        <v>2493925.5170014524</v>
      </c>
      <c r="G55" s="5">
        <v>1134.8315844642214</v>
      </c>
      <c r="H55" s="5">
        <v>63166.325598801785</v>
      </c>
    </row>
    <row r="56" spans="1:8" x14ac:dyDescent="0.3">
      <c r="A56" s="6">
        <v>53</v>
      </c>
      <c r="B56" s="6">
        <v>875435</v>
      </c>
      <c r="C56" s="6">
        <v>7359</v>
      </c>
      <c r="D56" s="7">
        <v>8.3677620249969116E-3</v>
      </c>
      <c r="E56" s="4">
        <v>141379.15015588957</v>
      </c>
      <c r="F56" s="5">
        <v>2346423.5459001861</v>
      </c>
      <c r="G56" s="5">
        <v>1148.2591481266809</v>
      </c>
      <c r="H56" s="5">
        <v>62031.494014337564</v>
      </c>
    </row>
    <row r="57" spans="1:8" x14ac:dyDescent="0.3">
      <c r="A57" s="6">
        <v>54</v>
      </c>
      <c r="B57" s="6">
        <v>868076</v>
      </c>
      <c r="C57" s="6">
        <v>7711</v>
      </c>
      <c r="D57" s="7">
        <v>8.8420014855153054E-3</v>
      </c>
      <c r="E57" s="4">
        <v>135449.95356287775</v>
      </c>
      <c r="F57" s="5">
        <v>2205044.3957442967</v>
      </c>
      <c r="G57" s="5">
        <v>1162.4959927742807</v>
      </c>
      <c r="H57" s="5">
        <v>60883.234866210878</v>
      </c>
    </row>
    <row r="58" spans="1:8" x14ac:dyDescent="0.3">
      <c r="A58" s="6">
        <v>55</v>
      </c>
      <c r="B58" s="6">
        <v>860365</v>
      </c>
      <c r="C58" s="6">
        <v>8066</v>
      </c>
      <c r="D58" s="7">
        <v>9.3315805248016092E-3</v>
      </c>
      <c r="E58" s="4">
        <v>129707.02435783224</v>
      </c>
      <c r="F58" s="5">
        <v>2069594.4421814182</v>
      </c>
      <c r="G58" s="5">
        <v>1174.8938466996262</v>
      </c>
      <c r="H58" s="5">
        <v>59720.738873436603</v>
      </c>
    </row>
    <row r="59" spans="1:8" x14ac:dyDescent="0.3">
      <c r="A59" s="6">
        <v>56</v>
      </c>
      <c r="B59" s="6">
        <v>852299</v>
      </c>
      <c r="C59" s="6">
        <v>8425</v>
      </c>
      <c r="D59" s="7">
        <v>9.8387195467630785E-3</v>
      </c>
      <c r="E59" s="4">
        <v>124145.90263429772</v>
      </c>
      <c r="F59" s="5">
        <v>1939887.4178235857</v>
      </c>
      <c r="G59" s="5">
        <v>1185.6867627632842</v>
      </c>
      <c r="H59" s="5">
        <v>58545.845026736977</v>
      </c>
    </row>
    <row r="60" spans="1:8" x14ac:dyDescent="0.3">
      <c r="A60" s="6">
        <v>57</v>
      </c>
      <c r="B60" s="6">
        <v>843874</v>
      </c>
      <c r="C60" s="6">
        <v>8941</v>
      </c>
      <c r="D60" s="7">
        <v>1.0545054458659546E-2</v>
      </c>
      <c r="E60" s="4">
        <v>118762.04525105095</v>
      </c>
      <c r="F60" s="5">
        <v>1815741.5151892882</v>
      </c>
      <c r="G60" s="5">
        <v>1215.7542792604854</v>
      </c>
      <c r="H60" s="5">
        <v>57360.158263973688</v>
      </c>
    </row>
    <row r="61" spans="1:8" x14ac:dyDescent="0.3">
      <c r="A61" s="6">
        <v>58</v>
      </c>
      <c r="B61" s="6">
        <v>834933</v>
      </c>
      <c r="C61" s="6">
        <v>9531</v>
      </c>
      <c r="D61" s="7">
        <v>1.1360702260089275E-2</v>
      </c>
      <c r="E61" s="4">
        <v>113530.18316136848</v>
      </c>
      <c r="F61" s="5">
        <v>1696979.4699382368</v>
      </c>
      <c r="G61" s="5">
        <v>1252.1542495848184</v>
      </c>
      <c r="H61" s="5">
        <v>56144.403984713201</v>
      </c>
    </row>
    <row r="62" spans="1:8" x14ac:dyDescent="0.3">
      <c r="A62" s="6">
        <v>59</v>
      </c>
      <c r="B62" s="6">
        <v>825402</v>
      </c>
      <c r="C62" s="6">
        <v>10282</v>
      </c>
      <c r="D62" s="7">
        <v>1.2396709912020961E-2</v>
      </c>
      <c r="E62" s="4">
        <v>108438.84397395961</v>
      </c>
      <c r="F62" s="5">
        <v>1583449.2867768686</v>
      </c>
      <c r="G62" s="5">
        <v>1305.1385328659144</v>
      </c>
      <c r="H62" s="5">
        <v>54892.249735128382</v>
      </c>
    </row>
    <row r="63" spans="1:8" x14ac:dyDescent="0.3">
      <c r="A63" s="6">
        <v>60</v>
      </c>
      <c r="B63" s="6">
        <v>815120</v>
      </c>
      <c r="C63" s="6">
        <v>11026</v>
      </c>
      <c r="D63" s="7">
        <v>1.3460596293443148E-2</v>
      </c>
      <c r="E63" s="4">
        <v>103466.6913936651</v>
      </c>
      <c r="F63" s="5">
        <v>1475010.4428029091</v>
      </c>
      <c r="G63" s="5">
        <v>1352.2489434074621</v>
      </c>
      <c r="H63" s="5">
        <v>53587.111202262466</v>
      </c>
    </row>
    <row r="64" spans="1:8" x14ac:dyDescent="0.3">
      <c r="A64" s="6">
        <v>61</v>
      </c>
      <c r="B64" s="6">
        <v>804094</v>
      </c>
      <c r="C64" s="6">
        <v>11913</v>
      </c>
      <c r="D64" s="7">
        <v>1.4741884919182284E-2</v>
      </c>
      <c r="E64" s="4">
        <v>98615.568828249656</v>
      </c>
      <c r="F64" s="5">
        <v>1371543.751409244</v>
      </c>
      <c r="G64" s="5">
        <v>1411.6253688307304</v>
      </c>
      <c r="H64" s="5">
        <v>52234.862258855006</v>
      </c>
    </row>
    <row r="65" spans="1:8" x14ac:dyDescent="0.3">
      <c r="A65" s="6">
        <v>62</v>
      </c>
      <c r="B65" s="6">
        <v>792181</v>
      </c>
      <c r="C65" s="6">
        <v>12791</v>
      </c>
      <c r="D65" s="7">
        <v>1.6065208011228183E-2</v>
      </c>
      <c r="E65" s="4">
        <v>93869.117460395995</v>
      </c>
      <c r="F65" s="5">
        <v>1272928.1825809942</v>
      </c>
      <c r="G65" s="5">
        <v>1464.4092450227004</v>
      </c>
      <c r="H65" s="5">
        <v>50823.236890024273</v>
      </c>
    </row>
    <row r="66" spans="1:8" x14ac:dyDescent="0.3">
      <c r="A66" s="6">
        <v>63</v>
      </c>
      <c r="B66" s="6">
        <v>779390</v>
      </c>
      <c r="C66" s="6">
        <v>13653</v>
      </c>
      <c r="D66" s="7">
        <v>1.7427842518586173E-2</v>
      </c>
      <c r="E66" s="4">
        <v>89230.390233620783</v>
      </c>
      <c r="F66" s="5">
        <v>1179059.0651205981</v>
      </c>
      <c r="G66" s="5">
        <v>1510.2390775439505</v>
      </c>
      <c r="H66" s="5">
        <v>49358.827645001584</v>
      </c>
    </row>
    <row r="67" spans="1:8" x14ac:dyDescent="0.3">
      <c r="A67" s="6">
        <v>64</v>
      </c>
      <c r="B67" s="6">
        <v>765737</v>
      </c>
      <c r="C67" s="6">
        <v>14647</v>
      </c>
      <c r="D67" s="7">
        <v>1.9028290129151644E-2</v>
      </c>
      <c r="E67" s="4">
        <v>84702.698346244244</v>
      </c>
      <c r="F67" s="5">
        <v>1089828.6748869773</v>
      </c>
      <c r="G67" s="5">
        <v>1565.4022186758154</v>
      </c>
      <c r="H67" s="5">
        <v>47848.588567457628</v>
      </c>
    </row>
    <row r="68" spans="1:8" x14ac:dyDescent="0.3">
      <c r="A68" s="6">
        <v>65</v>
      </c>
      <c r="B68" s="6">
        <v>751090</v>
      </c>
      <c r="C68" s="6">
        <v>15611</v>
      </c>
      <c r="D68" s="7">
        <v>2.0674038646274526E-2</v>
      </c>
      <c r="E68" s="4">
        <v>80272.953671415249</v>
      </c>
      <c r="F68" s="5">
        <v>1005125.9765407332</v>
      </c>
      <c r="G68" s="5">
        <v>1612.0096503412947</v>
      </c>
      <c r="H68" s="5">
        <v>46283.186348781812</v>
      </c>
    </row>
    <row r="69" spans="1:8" x14ac:dyDescent="0.3">
      <c r="A69" s="6">
        <v>66</v>
      </c>
      <c r="B69" s="6">
        <v>735479</v>
      </c>
      <c r="C69" s="6">
        <v>16578</v>
      </c>
      <c r="D69" s="7">
        <v>2.2418134363848603E-2</v>
      </c>
      <c r="E69" s="4">
        <v>75946.399694021267</v>
      </c>
      <c r="F69" s="5">
        <v>924853.02286931791</v>
      </c>
      <c r="G69" s="5">
        <v>1653.9740795529715</v>
      </c>
      <c r="H69" s="5">
        <v>44671.176698440526</v>
      </c>
    </row>
    <row r="70" spans="1:8" x14ac:dyDescent="0.3">
      <c r="A70" s="6">
        <v>67</v>
      </c>
      <c r="B70" s="6">
        <v>718901</v>
      </c>
      <c r="C70" s="6">
        <v>17371</v>
      </c>
      <c r="D70" s="7">
        <v>2.402918361794865E-2</v>
      </c>
      <c r="E70" s="4">
        <v>71724.189876023142</v>
      </c>
      <c r="F70" s="5">
        <v>848906.6231752967</v>
      </c>
      <c r="G70" s="5">
        <v>1674.4841242898988</v>
      </c>
      <c r="H70" s="5">
        <v>43017.202618887553</v>
      </c>
    </row>
    <row r="71" spans="1:8" x14ac:dyDescent="0.3">
      <c r="A71" s="6">
        <v>68</v>
      </c>
      <c r="B71" s="6">
        <v>701530</v>
      </c>
      <c r="C71" s="6">
        <v>18178</v>
      </c>
      <c r="D71" s="7">
        <v>2.576460349979438E-2</v>
      </c>
      <c r="E71" s="4">
        <v>67624.250055442608</v>
      </c>
      <c r="F71" s="5">
        <v>777182.4332992736</v>
      </c>
      <c r="G71" s="5">
        <v>1693.0195120214951</v>
      </c>
      <c r="H71" s="5">
        <v>41342.718494597655</v>
      </c>
    </row>
    <row r="72" spans="1:8" x14ac:dyDescent="0.3">
      <c r="A72" s="6">
        <v>69</v>
      </c>
      <c r="B72" s="6">
        <v>683352</v>
      </c>
      <c r="C72" s="6">
        <v>18989</v>
      </c>
      <c r="D72" s="7">
        <v>2.7625843943474431E-2</v>
      </c>
      <c r="E72" s="4">
        <v>63644.42015507281</v>
      </c>
      <c r="F72" s="5">
        <v>709558.18324383104</v>
      </c>
      <c r="G72" s="5">
        <v>1708.7463857822604</v>
      </c>
      <c r="H72" s="5">
        <v>39649.698982576163</v>
      </c>
    </row>
    <row r="73" spans="1:8" x14ac:dyDescent="0.3">
      <c r="A73" s="6">
        <v>70</v>
      </c>
      <c r="B73" s="6">
        <v>664363</v>
      </c>
      <c r="C73" s="6">
        <v>19812</v>
      </c>
      <c r="D73" s="7">
        <v>2.9642059277675027E-2</v>
      </c>
      <c r="E73" s="4">
        <v>59783.447000761524</v>
      </c>
      <c r="F73" s="5">
        <v>645913.76308875822</v>
      </c>
      <c r="G73" s="5">
        <v>1722.5168700576533</v>
      </c>
      <c r="H73" s="5">
        <v>37940.952596793897</v>
      </c>
    </row>
    <row r="74" spans="1:8" x14ac:dyDescent="0.3">
      <c r="A74" s="6">
        <v>71</v>
      </c>
      <c r="B74" s="6">
        <v>644551</v>
      </c>
      <c r="C74" s="6">
        <v>20634</v>
      </c>
      <c r="D74" s="7">
        <v>3.1814969714850837E-2</v>
      </c>
      <c r="E74" s="4">
        <v>56039.267671740919</v>
      </c>
      <c r="F74" s="5">
        <v>586130.3160879967</v>
      </c>
      <c r="G74" s="5">
        <v>1733.3179762604041</v>
      </c>
      <c r="H74" s="5">
        <v>36218.435726736243</v>
      </c>
    </row>
    <row r="75" spans="1:8" x14ac:dyDescent="0.3">
      <c r="A75" s="6">
        <v>72</v>
      </c>
      <c r="B75" s="6">
        <v>623917</v>
      </c>
      <c r="C75" s="6">
        <v>21427</v>
      </c>
      <c r="D75" s="7">
        <v>3.4123305482903717E-2</v>
      </c>
      <c r="E75" s="4">
        <v>52410.901996436143</v>
      </c>
      <c r="F75" s="5">
        <v>530091.04841625574</v>
      </c>
      <c r="G75" s="5">
        <v>1739.0650803037281</v>
      </c>
      <c r="H75" s="5">
        <v>34485.117750475838</v>
      </c>
    </row>
    <row r="76" spans="1:8" x14ac:dyDescent="0.3">
      <c r="A76" s="6">
        <v>73</v>
      </c>
      <c r="B76" s="6">
        <v>602490</v>
      </c>
      <c r="C76" s="6">
        <v>22187</v>
      </c>
      <c r="D76" s="7">
        <v>3.6581930532169252E-2</v>
      </c>
      <c r="E76" s="4">
        <v>48899.487573257764</v>
      </c>
      <c r="F76" s="5">
        <v>477680.14641981956</v>
      </c>
      <c r="G76" s="5">
        <v>1739.8535703046036</v>
      </c>
      <c r="H76" s="5">
        <v>32746.052670172114</v>
      </c>
    </row>
    <row r="77" spans="1:8" x14ac:dyDescent="0.3">
      <c r="A77" s="6">
        <v>74</v>
      </c>
      <c r="B77" s="6">
        <v>580303</v>
      </c>
      <c r="C77" s="6">
        <v>22921</v>
      </c>
      <c r="D77" s="7">
        <v>3.9227154952795211E-2</v>
      </c>
      <c r="E77" s="4">
        <v>45506.028142987932</v>
      </c>
      <c r="F77" s="5">
        <v>428780.65884656191</v>
      </c>
      <c r="G77" s="5">
        <v>1736.6301102443817</v>
      </c>
      <c r="H77" s="5">
        <v>31006.199099867514</v>
      </c>
    </row>
    <row r="78" spans="1:8" x14ac:dyDescent="0.3">
      <c r="A78" s="6">
        <v>75</v>
      </c>
      <c r="B78" s="6">
        <v>557382</v>
      </c>
      <c r="C78" s="6">
        <v>23642</v>
      </c>
      <c r="D78" s="7">
        <v>4.2113054562710715E-2</v>
      </c>
      <c r="E78" s="4">
        <v>42230.546839502407</v>
      </c>
      <c r="F78" s="5">
        <v>383274.63070357393</v>
      </c>
      <c r="G78" s="5">
        <v>1730.6834024279435</v>
      </c>
      <c r="H78" s="5">
        <v>29269.568989623123</v>
      </c>
    </row>
    <row r="79" spans="1:8" x14ac:dyDescent="0.3">
      <c r="A79" s="6">
        <v>76</v>
      </c>
      <c r="B79" s="6">
        <v>533740</v>
      </c>
      <c r="C79" s="6">
        <v>24351</v>
      </c>
      <c r="D79" s="7">
        <v>4.5282988011314348E-2</v>
      </c>
      <c r="E79" s="4">
        <v>39071.777312067141</v>
      </c>
      <c r="F79" s="5">
        <v>341044.08386407146</v>
      </c>
      <c r="G79" s="5">
        <v>1722.3042236927424</v>
      </c>
      <c r="H79" s="5">
        <v>27538.885587195178</v>
      </c>
    </row>
    <row r="80" spans="1:8" x14ac:dyDescent="0.3">
      <c r="A80" s="6">
        <v>77</v>
      </c>
      <c r="B80" s="6">
        <v>509389</v>
      </c>
      <c r="C80" s="6">
        <v>25022</v>
      </c>
      <c r="D80" s="7">
        <v>4.873776773749923E-2</v>
      </c>
      <c r="E80" s="4">
        <v>36028.205256565365</v>
      </c>
      <c r="F80" s="5">
        <v>301972.3065520043</v>
      </c>
      <c r="G80" s="5">
        <v>1709.9158417341155</v>
      </c>
      <c r="H80" s="5">
        <v>25816.581363502435</v>
      </c>
    </row>
    <row r="81" spans="1:8" x14ac:dyDescent="0.3">
      <c r="A81" s="6">
        <v>78</v>
      </c>
      <c r="B81" s="6">
        <v>484367</v>
      </c>
      <c r="C81" s="6">
        <v>25672</v>
      </c>
      <c r="D81" s="7">
        <v>5.2565774045355708E-2</v>
      </c>
      <c r="E81" s="4">
        <v>33099.944309536768</v>
      </c>
      <c r="F81" s="5">
        <v>265944.10129543894</v>
      </c>
      <c r="G81" s="5">
        <v>1695.0092416836746</v>
      </c>
      <c r="H81" s="5">
        <v>24106.665521768318</v>
      </c>
    </row>
    <row r="82" spans="1:8" x14ac:dyDescent="0.3">
      <c r="A82" s="6">
        <v>79</v>
      </c>
      <c r="B82" s="6">
        <v>458695</v>
      </c>
      <c r="C82" s="6">
        <v>26347</v>
      </c>
      <c r="D82" s="7">
        <v>5.6941048742957877E-2</v>
      </c>
      <c r="E82" s="4">
        <v>30285.613279607893</v>
      </c>
      <c r="F82" s="5">
        <v>232844.15698590217</v>
      </c>
      <c r="G82" s="5">
        <v>1680.7502634739469</v>
      </c>
      <c r="H82" s="5">
        <v>22411.656280084648</v>
      </c>
    </row>
    <row r="83" spans="1:8" x14ac:dyDescent="0.3">
      <c r="A83" s="6">
        <v>80</v>
      </c>
      <c r="B83" s="6">
        <v>432348</v>
      </c>
      <c r="C83" s="6">
        <v>27049</v>
      </c>
      <c r="D83" s="7">
        <v>6.1987862719999898E-2</v>
      </c>
      <c r="E83" s="4">
        <v>27580.711842427398</v>
      </c>
      <c r="F83" s="5">
        <v>202558.54370629429</v>
      </c>
      <c r="G83" s="5">
        <v>1667.1814931017016</v>
      </c>
      <c r="H83" s="5">
        <v>20730.906016610705</v>
      </c>
    </row>
    <row r="84" spans="1:8" x14ac:dyDescent="0.3">
      <c r="A84" s="6">
        <v>81</v>
      </c>
      <c r="B84" s="6">
        <v>405299</v>
      </c>
      <c r="C84" s="6">
        <v>27722</v>
      </c>
      <c r="D84" s="7">
        <v>6.7728514450927965E-2</v>
      </c>
      <c r="E84" s="4">
        <v>24980.849272528634</v>
      </c>
      <c r="F84" s="5">
        <v>174977.83186386686</v>
      </c>
      <c r="G84" s="5">
        <v>1650.8814063782752</v>
      </c>
      <c r="H84" s="5">
        <v>19063.72452350899</v>
      </c>
    </row>
    <row r="85" spans="1:8" x14ac:dyDescent="0.3">
      <c r="A85" s="6">
        <v>82</v>
      </c>
      <c r="B85" s="6">
        <v>377577</v>
      </c>
      <c r="C85" s="6">
        <v>28260</v>
      </c>
      <c r="D85" s="7">
        <v>7.4058813033178295E-2</v>
      </c>
      <c r="E85" s="4">
        <v>22485.20484727258</v>
      </c>
      <c r="F85" s="5">
        <v>149996.98259133825</v>
      </c>
      <c r="G85" s="5">
        <v>1626.0096724396519</v>
      </c>
      <c r="H85" s="5">
        <v>17412.84311713072</v>
      </c>
    </row>
    <row r="86" spans="1:8" x14ac:dyDescent="0.3">
      <c r="A86" s="6">
        <v>83</v>
      </c>
      <c r="B86" s="6">
        <v>349317</v>
      </c>
      <c r="C86" s="6">
        <v>28556</v>
      </c>
      <c r="D86" s="7">
        <v>8.0819946848023669E-2</v>
      </c>
      <c r="E86" s="4">
        <v>20098.825928789895</v>
      </c>
      <c r="F86" s="5">
        <v>127511.77774406566</v>
      </c>
      <c r="G86" s="5">
        <v>1587.4790064031613</v>
      </c>
      <c r="H86" s="5">
        <v>15786.833444691067</v>
      </c>
    </row>
    <row r="87" spans="1:8" x14ac:dyDescent="0.3">
      <c r="A87" s="6">
        <v>84</v>
      </c>
      <c r="B87" s="6">
        <v>320761</v>
      </c>
      <c r="C87" s="6">
        <v>28543</v>
      </c>
      <c r="D87" s="7">
        <v>8.7886104171868332E-2</v>
      </c>
      <c r="E87" s="4">
        <v>17831.676480350361</v>
      </c>
      <c r="F87" s="5">
        <v>107412.95181527575</v>
      </c>
      <c r="G87" s="5">
        <v>1533.0978871506461</v>
      </c>
      <c r="H87" s="5">
        <v>14199.354438287903</v>
      </c>
    </row>
    <row r="88" spans="1:8" x14ac:dyDescent="0.3">
      <c r="A88" s="6">
        <v>85</v>
      </c>
      <c r="B88" s="6">
        <v>292218</v>
      </c>
      <c r="C88" s="6">
        <v>28248</v>
      </c>
      <c r="D88" s="7">
        <v>9.5358459900615519E-2</v>
      </c>
      <c r="E88" s="4">
        <v>15695.575040724098</v>
      </c>
      <c r="F88" s="5">
        <v>89581.275334925405</v>
      </c>
      <c r="G88" s="5">
        <v>1465.944817091171</v>
      </c>
      <c r="H88" s="5">
        <v>12666.256551137252</v>
      </c>
    </row>
    <row r="89" spans="1:8" x14ac:dyDescent="0.3">
      <c r="A89" s="6">
        <v>86</v>
      </c>
      <c r="B89" s="6">
        <v>263970</v>
      </c>
      <c r="C89" s="6">
        <v>27685</v>
      </c>
      <c r="D89" s="7">
        <v>0.10330932535039303</v>
      </c>
      <c r="E89" s="4">
        <v>13698.861985540807</v>
      </c>
      <c r="F89" s="5">
        <v>73885.700294201291</v>
      </c>
      <c r="G89" s="5">
        <v>1388.1426434591438</v>
      </c>
      <c r="H89" s="5">
        <v>11200.311734046079</v>
      </c>
    </row>
    <row r="90" spans="1:8" x14ac:dyDescent="0.3">
      <c r="A90" s="6">
        <v>87</v>
      </c>
      <c r="B90" s="6">
        <v>236285</v>
      </c>
      <c r="C90" s="6">
        <v>26840</v>
      </c>
      <c r="D90" s="7">
        <v>0.11169528892423958</v>
      </c>
      <c r="E90" s="4">
        <v>11847.47280150782</v>
      </c>
      <c r="F90" s="5">
        <v>60186.838308660517</v>
      </c>
      <c r="G90" s="5">
        <v>1300.2645723828339</v>
      </c>
      <c r="H90" s="5">
        <v>9812.1690905869382</v>
      </c>
    </row>
    <row r="91" spans="1:8" x14ac:dyDescent="0.3">
      <c r="A91" s="6">
        <v>88</v>
      </c>
      <c r="B91" s="6">
        <v>209445</v>
      </c>
      <c r="C91" s="6">
        <v>25718</v>
      </c>
      <c r="D91" s="7">
        <v>0.12048349884752152</v>
      </c>
      <c r="E91" s="4">
        <v>10146.569052262403</v>
      </c>
      <c r="F91" s="5">
        <v>48339.36550715271</v>
      </c>
      <c r="G91" s="5">
        <v>1203.7770532315935</v>
      </c>
      <c r="H91" s="5">
        <v>8511.9045182041027</v>
      </c>
    </row>
    <row r="92" spans="1:8" x14ac:dyDescent="0.3">
      <c r="A92" s="6">
        <v>89</v>
      </c>
      <c r="B92" s="6">
        <v>183727</v>
      </c>
      <c r="C92" s="6">
        <v>24318</v>
      </c>
      <c r="D92" s="7">
        <v>0.12953115593391984</v>
      </c>
      <c r="E92" s="4">
        <v>8599.6713064422256</v>
      </c>
      <c r="F92" s="5">
        <v>38192.796454890296</v>
      </c>
      <c r="G92" s="5">
        <v>1099.7560828084424</v>
      </c>
      <c r="H92" s="5">
        <v>7308.127464972511</v>
      </c>
    </row>
    <row r="93" spans="1:8" x14ac:dyDescent="0.3">
      <c r="A93" s="6">
        <v>90</v>
      </c>
      <c r="B93" s="6">
        <v>159409</v>
      </c>
      <c r="C93" s="6">
        <v>22676</v>
      </c>
      <c r="D93" s="7">
        <v>0.1387585024151356</v>
      </c>
      <c r="E93" s="4">
        <v>7209.1050828362195</v>
      </c>
      <c r="F93" s="5">
        <v>29593.125148448078</v>
      </c>
      <c r="G93" s="5">
        <v>990.81966415860404</v>
      </c>
      <c r="H93" s="5">
        <v>6208.3713821640667</v>
      </c>
    </row>
    <row r="94" spans="1:8" x14ac:dyDescent="0.3">
      <c r="A94" s="6">
        <v>91</v>
      </c>
      <c r="B94" s="6">
        <v>136733</v>
      </c>
      <c r="C94" s="6">
        <v>21960</v>
      </c>
      <c r="D94" s="7">
        <v>0.15602728229719096</v>
      </c>
      <c r="E94" s="4">
        <v>5974.4992564560998</v>
      </c>
      <c r="F94" s="5">
        <v>22384.020065611858</v>
      </c>
      <c r="G94" s="5">
        <v>927.08628181758695</v>
      </c>
      <c r="H94" s="5">
        <v>5217.5517180054612</v>
      </c>
    </row>
    <row r="95" spans="1:8" x14ac:dyDescent="0.3">
      <c r="A95" s="6">
        <v>92</v>
      </c>
      <c r="B95" s="6">
        <v>114773</v>
      </c>
      <c r="C95" s="6">
        <v>21943</v>
      </c>
      <c r="D95" s="7">
        <v>0.18472930804452023</v>
      </c>
      <c r="E95" s="4">
        <v>4845.3767678984514</v>
      </c>
      <c r="F95" s="5">
        <v>16409.520809155758</v>
      </c>
      <c r="G95" s="5">
        <v>895.04211794493744</v>
      </c>
      <c r="H95" s="5">
        <v>4290.4654361878729</v>
      </c>
    </row>
    <row r="96" spans="1:8" x14ac:dyDescent="0.3">
      <c r="A96" s="6">
        <v>93</v>
      </c>
      <c r="B96" s="6">
        <v>92830</v>
      </c>
      <c r="C96" s="6">
        <v>21051</v>
      </c>
      <c r="D96" s="7">
        <v>0.21737555376893489</v>
      </c>
      <c r="E96" s="4">
        <v>3786.4813292999429</v>
      </c>
      <c r="F96" s="5">
        <v>11564.144041257301</v>
      </c>
      <c r="G96" s="5">
        <v>829.62121776904564</v>
      </c>
      <c r="H96" s="5">
        <v>3395.423318242933</v>
      </c>
    </row>
    <row r="97" spans="1:8" x14ac:dyDescent="0.3">
      <c r="A97" s="6">
        <v>94</v>
      </c>
      <c r="B97" s="6">
        <v>71779</v>
      </c>
      <c r="C97" s="6">
        <v>19222</v>
      </c>
      <c r="D97" s="7">
        <v>0.25361978704837485</v>
      </c>
      <c r="E97" s="4">
        <v>2828.8148491874204</v>
      </c>
      <c r="F97" s="5">
        <v>7777.6627119573568</v>
      </c>
      <c r="G97" s="5">
        <v>731.92291221694154</v>
      </c>
      <c r="H97" s="5">
        <v>2565.8021004738866</v>
      </c>
    </row>
    <row r="98" spans="1:8" x14ac:dyDescent="0.3">
      <c r="A98" s="6">
        <v>95</v>
      </c>
      <c r="B98" s="6">
        <v>52557</v>
      </c>
      <c r="C98" s="6">
        <v>16535</v>
      </c>
      <c r="D98" s="7">
        <v>0.29229988362163667</v>
      </c>
      <c r="E98" s="4">
        <v>2001.2315314424011</v>
      </c>
      <c r="F98" s="5">
        <v>4948.8478627699369</v>
      </c>
      <c r="G98" s="5">
        <v>608.3179324770847</v>
      </c>
      <c r="H98" s="5">
        <v>1833.8791882569449</v>
      </c>
    </row>
    <row r="99" spans="1:8" x14ac:dyDescent="0.3">
      <c r="A99" s="6">
        <v>96</v>
      </c>
      <c r="B99" s="6">
        <v>36022</v>
      </c>
      <c r="C99" s="6">
        <v>13233</v>
      </c>
      <c r="D99" s="7">
        <v>0.33054720455120379</v>
      </c>
      <c r="E99" s="4">
        <v>1325.2391027329643</v>
      </c>
      <c r="F99" s="5">
        <v>2947.6163313275374</v>
      </c>
      <c r="G99" s="5">
        <v>470.37516382139262</v>
      </c>
      <c r="H99" s="5">
        <v>1225.5612557798595</v>
      </c>
    </row>
    <row r="100" spans="1:8" x14ac:dyDescent="0.3">
      <c r="A100" s="6">
        <v>97</v>
      </c>
      <c r="B100" s="6">
        <v>22789</v>
      </c>
      <c r="C100" s="6">
        <v>9706</v>
      </c>
      <c r="D100" s="7">
        <v>0.362155849074145</v>
      </c>
      <c r="E100" s="4">
        <v>810.0490900268818</v>
      </c>
      <c r="F100" s="5">
        <v>1622.3772285945734</v>
      </c>
      <c r="G100" s="5">
        <v>333.33890716412282</v>
      </c>
      <c r="H100" s="5">
        <v>755.18609195846636</v>
      </c>
    </row>
    <row r="101" spans="1:8" x14ac:dyDescent="0.3">
      <c r="A101" s="6">
        <v>98</v>
      </c>
      <c r="B101" s="6">
        <v>13083</v>
      </c>
      <c r="C101" s="6">
        <v>6405</v>
      </c>
      <c r="D101" s="7">
        <v>0.37467936324323159</v>
      </c>
      <c r="E101" s="4">
        <v>449.31721846571429</v>
      </c>
      <c r="F101" s="5">
        <v>812.32813856769144</v>
      </c>
      <c r="G101" s="5">
        <v>212.53208587409023</v>
      </c>
      <c r="H101" s="5">
        <v>421.84718479434321</v>
      </c>
    </row>
    <row r="102" spans="1:8" x14ac:dyDescent="0.3">
      <c r="A102" s="6">
        <v>99</v>
      </c>
      <c r="B102" s="6">
        <v>6678</v>
      </c>
      <c r="C102" s="6">
        <v>3723</v>
      </c>
      <c r="D102" s="7">
        <v>0.34828190733861669</v>
      </c>
      <c r="E102" s="4">
        <v>221.59083051790415</v>
      </c>
      <c r="F102" s="5">
        <v>363.01092010197698</v>
      </c>
      <c r="G102" s="5">
        <v>119.35979299222571</v>
      </c>
      <c r="H102" s="5">
        <v>209.31509892025269</v>
      </c>
    </row>
    <row r="103" spans="1:8" x14ac:dyDescent="0.3">
      <c r="A103" s="6">
        <v>100</v>
      </c>
      <c r="B103" s="6">
        <v>2955</v>
      </c>
      <c r="C103" s="6">
        <v>1855</v>
      </c>
      <c r="D103" s="7">
        <v>0.26626986254270296</v>
      </c>
      <c r="E103" s="4">
        <v>94.737627798019702</v>
      </c>
      <c r="F103" s="5">
        <v>141.42008958407291</v>
      </c>
      <c r="G103" s="5">
        <v>57.460392053205936</v>
      </c>
      <c r="H103" s="5">
        <v>89.955305928026903</v>
      </c>
    </row>
    <row r="104" spans="1:8" x14ac:dyDescent="0.3">
      <c r="A104" s="6">
        <v>101</v>
      </c>
      <c r="B104" s="6">
        <v>1100</v>
      </c>
      <c r="C104" s="6">
        <v>768</v>
      </c>
      <c r="D104" s="7">
        <v>0.15024601514373701</v>
      </c>
      <c r="E104" s="4">
        <v>34.073547848262322</v>
      </c>
      <c r="F104" s="5">
        <v>46.68246178605321</v>
      </c>
      <c r="G104" s="5">
        <v>22.985054674980621</v>
      </c>
      <c r="H104" s="5">
        <v>32.494913874820902</v>
      </c>
    </row>
    <row r="105" spans="1:8" x14ac:dyDescent="0.3">
      <c r="A105" s="6">
        <v>102</v>
      </c>
      <c r="B105" s="6">
        <v>332</v>
      </c>
      <c r="C105" s="6">
        <v>254</v>
      </c>
      <c r="D105" s="7">
        <v>5.8476618255436326E-2</v>
      </c>
      <c r="E105" s="4">
        <v>9.9362475938718404</v>
      </c>
      <c r="F105" s="5">
        <v>12.608913937790881</v>
      </c>
      <c r="G105" s="5">
        <v>7.3447613318300604</v>
      </c>
      <c r="H105" s="5">
        <v>9.5098591998402657</v>
      </c>
    </row>
    <row r="106" spans="1:8" x14ac:dyDescent="0.3">
      <c r="A106" s="6">
        <v>103</v>
      </c>
      <c r="B106" s="6">
        <v>78</v>
      </c>
      <c r="C106" s="6">
        <v>65</v>
      </c>
      <c r="D106" s="7">
        <v>1.5893911095343528E-2</v>
      </c>
      <c r="E106" s="4">
        <v>2.2554778893021465</v>
      </c>
      <c r="F106" s="5">
        <v>2.6726663439190412</v>
      </c>
      <c r="G106" s="5">
        <v>1.816004741789166</v>
      </c>
      <c r="H106" s="5">
        <v>2.1650978680101987</v>
      </c>
    </row>
    <row r="107" spans="1:8" x14ac:dyDescent="0.3">
      <c r="A107" s="6">
        <v>104</v>
      </c>
      <c r="B107" s="6">
        <v>13</v>
      </c>
      <c r="C107" s="6">
        <v>11</v>
      </c>
      <c r="D107" s="7">
        <v>2.7331797161667943E-3</v>
      </c>
      <c r="E107" s="4">
        <v>0.36320094835783368</v>
      </c>
      <c r="F107" s="5">
        <v>0.4171884546168948</v>
      </c>
      <c r="G107" s="5">
        <v>0.2969312844248358</v>
      </c>
      <c r="H107" s="5">
        <v>0.34909312622103045</v>
      </c>
    </row>
    <row r="108" spans="1:8" x14ac:dyDescent="0.3">
      <c r="A108" s="6">
        <v>105</v>
      </c>
      <c r="B108" s="6">
        <v>2</v>
      </c>
      <c r="C108" s="6">
        <v>2</v>
      </c>
      <c r="D108" s="7">
        <v>4.9830372019631184E-4</v>
      </c>
      <c r="E108" s="4">
        <v>5.3987506259061117E-2</v>
      </c>
      <c r="F108" s="5">
        <v>5.3987506259061117E-2</v>
      </c>
      <c r="G108" s="5">
        <v>5.2161841796194264E-2</v>
      </c>
      <c r="H108" s="5">
        <v>5.2161841796194319E-2</v>
      </c>
    </row>
    <row r="109" spans="1:8" x14ac:dyDescent="0.3">
      <c r="A109" s="6">
        <v>106</v>
      </c>
      <c r="B109" s="6">
        <v>0</v>
      </c>
      <c r="C109" s="6">
        <v>0</v>
      </c>
      <c r="D109" s="7">
        <v>0</v>
      </c>
      <c r="E109" s="4">
        <v>0</v>
      </c>
      <c r="F109" s="5">
        <v>0</v>
      </c>
      <c r="G109" s="5">
        <v>0</v>
      </c>
      <c r="H109" s="5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5" tint="-0.249977111117893"/>
  </sheetPr>
  <dimension ref="C5:J21"/>
  <sheetViews>
    <sheetView showGridLines="0" zoomScale="80" zoomScaleNormal="80" workbookViewId="0">
      <selection activeCell="H24" sqref="H24"/>
    </sheetView>
  </sheetViews>
  <sheetFormatPr baseColWidth="10" defaultRowHeight="14.4" x14ac:dyDescent="0.3"/>
  <cols>
    <col min="4" max="4" width="15.5546875" customWidth="1"/>
    <col min="5" max="5" width="14" customWidth="1"/>
    <col min="7" max="7" width="2.77734375" customWidth="1"/>
    <col min="8" max="8" width="2.6640625" customWidth="1"/>
    <col min="9" max="9" width="18.44140625" customWidth="1"/>
  </cols>
  <sheetData>
    <row r="5" spans="3:10" x14ac:dyDescent="0.3">
      <c r="C5" s="19" t="s">
        <v>25</v>
      </c>
      <c r="D5" s="18" t="s">
        <v>20</v>
      </c>
      <c r="E5" s="30">
        <v>3.5000000000000003E-2</v>
      </c>
      <c r="I5" s="39"/>
      <c r="J5" s="34"/>
    </row>
    <row r="6" spans="3:10" x14ac:dyDescent="0.3">
      <c r="C6" s="19" t="s">
        <v>27</v>
      </c>
      <c r="D6" s="3" t="s">
        <v>21</v>
      </c>
      <c r="E6" s="23">
        <f>(1+E5)^(1/12)-1</f>
        <v>2.8708987190766422E-3</v>
      </c>
      <c r="I6" s="39"/>
      <c r="J6" s="34"/>
    </row>
    <row r="7" spans="3:10" x14ac:dyDescent="0.3">
      <c r="D7" s="3" t="s">
        <v>22</v>
      </c>
      <c r="E7" s="23">
        <f>(1+E5)^(-1)</f>
        <v>0.96618357487922713</v>
      </c>
      <c r="I7" s="39"/>
      <c r="J7" s="34"/>
    </row>
    <row r="8" spans="3:10" x14ac:dyDescent="0.3">
      <c r="C8" s="19" t="s">
        <v>26</v>
      </c>
      <c r="D8" s="18" t="s">
        <v>10</v>
      </c>
      <c r="E8" s="41">
        <v>0.12</v>
      </c>
      <c r="F8" s="40"/>
    </row>
    <row r="9" spans="3:10" x14ac:dyDescent="0.3">
      <c r="C9" s="19" t="s">
        <v>24</v>
      </c>
      <c r="D9" s="18" t="s">
        <v>11</v>
      </c>
      <c r="E9" s="1">
        <v>0.15</v>
      </c>
    </row>
    <row r="10" spans="3:10" x14ac:dyDescent="0.3">
      <c r="C10" s="19" t="s">
        <v>23</v>
      </c>
      <c r="D10" s="18" t="s">
        <v>12</v>
      </c>
      <c r="E10" s="1">
        <v>0.03</v>
      </c>
    </row>
    <row r="11" spans="3:10" x14ac:dyDescent="0.3">
      <c r="C11" s="19" t="s">
        <v>39</v>
      </c>
      <c r="D11" s="31" t="s">
        <v>32</v>
      </c>
      <c r="E11" s="1">
        <v>0.02</v>
      </c>
    </row>
    <row r="12" spans="3:10" x14ac:dyDescent="0.3">
      <c r="D12" s="42" t="s">
        <v>28</v>
      </c>
      <c r="E12" s="20" t="s">
        <v>29</v>
      </c>
    </row>
    <row r="13" spans="3:10" x14ac:dyDescent="0.3">
      <c r="C13" s="3" t="s">
        <v>14</v>
      </c>
      <c r="D13" s="2">
        <v>1E-3</v>
      </c>
    </row>
    <row r="14" spans="3:10" x14ac:dyDescent="0.3">
      <c r="C14" s="3" t="s">
        <v>13</v>
      </c>
      <c r="D14" s="2">
        <v>1.1999999999999999E-3</v>
      </c>
    </row>
    <row r="15" spans="3:10" x14ac:dyDescent="0.3">
      <c r="C15" s="3" t="s">
        <v>16</v>
      </c>
      <c r="D15" s="2">
        <v>2.5100000000000001E-2</v>
      </c>
      <c r="E15" s="35"/>
    </row>
    <row r="16" spans="3:10" x14ac:dyDescent="0.3">
      <c r="C16" s="3" t="s">
        <v>17</v>
      </c>
      <c r="D16" s="2">
        <v>1.9E-3</v>
      </c>
      <c r="E16" s="35"/>
    </row>
    <row r="17" spans="3:4" x14ac:dyDescent="0.3">
      <c r="C17" s="36" t="s">
        <v>15</v>
      </c>
      <c r="D17" s="2">
        <v>2E-3</v>
      </c>
    </row>
    <row r="19" spans="3:4" x14ac:dyDescent="0.3">
      <c r="C19" s="20" t="s">
        <v>34</v>
      </c>
      <c r="D19" s="1">
        <v>0.02</v>
      </c>
    </row>
    <row r="20" spans="3:4" x14ac:dyDescent="0.3">
      <c r="C20" s="20" t="s">
        <v>35</v>
      </c>
      <c r="D20" s="1">
        <v>0.03</v>
      </c>
    </row>
    <row r="21" spans="3:4" x14ac:dyDescent="0.3">
      <c r="C21" s="20" t="s">
        <v>36</v>
      </c>
      <c r="D21" s="1">
        <v>0.04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DTC</vt:lpstr>
      <vt:lpstr>&lt;----------&gt;</vt:lpstr>
      <vt:lpstr>DTC + FF</vt:lpstr>
      <vt:lpstr>PU</vt:lpstr>
      <vt:lpstr>PA</vt:lpstr>
      <vt:lpstr>CIMA_H</vt:lpstr>
      <vt:lpstr>Param</vt:lpstr>
      <vt:lpstr>f.12</vt:lpstr>
      <vt:lpstr>f.2</vt:lpstr>
      <vt:lpstr>f.4</vt:lpstr>
      <vt:lpstr>taDA</vt:lpstr>
      <vt:lpstr>taIPP</vt:lpstr>
      <vt:lpstr>taIPT</vt:lpstr>
      <vt:lpstr>vx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NGUESSAN Nguessan Junior [NSIA Participations]</dc:creator>
  <cp:lastModifiedBy>NKOUYA MANKEDI Eudes [NSIA Vie Assurances Congo]</cp:lastModifiedBy>
  <dcterms:created xsi:type="dcterms:W3CDTF">2023-09-12T15:52:48Z</dcterms:created>
  <dcterms:modified xsi:type="dcterms:W3CDTF">2025-10-03T14:59:58Z</dcterms:modified>
</cp:coreProperties>
</file>